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D6221DA8-B7A4-4DDD-9DE0-720540D17C6C}" xr6:coauthVersionLast="47" xr6:coauthVersionMax="47" xr10:uidLastSave="{00000000-0000-0000-0000-000000000000}"/>
  <bookViews>
    <workbookView xWindow="-120" yWindow="-120" windowWidth="20730" windowHeight="11040" activeTab="1" xr2:uid="{64536A74-6491-49B5-AC5E-3FFE9527F862}"/>
  </bookViews>
  <sheets>
    <sheet name="Master_Data" sheetId="1" r:id="rId1"/>
    <sheet name="Dashboard" sheetId="2" r:id="rId2"/>
  </sheets>
  <definedNames>
    <definedName name="_xlnm._FilterDatabase" localSheetId="0" hidden="1">Master_Data!$E$51:$F$55</definedName>
    <definedName name="_xlchart.v1.0" hidden="1">Master_Data!$A$28:$A$47</definedName>
    <definedName name="_xlchart.v1.1" hidden="1">Master_Data!$B$27</definedName>
    <definedName name="_xlchart.v1.2" hidden="1">Master_Data!$B$28:$B$47</definedName>
    <definedName name="_xlchart.v1.3" hidden="1">Master_Data!$C$27</definedName>
    <definedName name="_xlchart.v1.4" hidden="1">Master_Data!$C$28:$C$47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" i="1"/>
  <c r="K6" i="1"/>
  <c r="K7" i="1"/>
  <c r="K8" i="1"/>
  <c r="K4" i="1"/>
  <c r="J12" i="1"/>
  <c r="J13" i="1"/>
  <c r="M13" i="1" s="1"/>
  <c r="J14" i="1"/>
  <c r="N14" i="1" s="1"/>
  <c r="J15" i="1"/>
  <c r="M15" i="1" s="1"/>
  <c r="J16" i="1"/>
  <c r="J17" i="1"/>
  <c r="M17" i="1" s="1"/>
  <c r="J18" i="1"/>
  <c r="N18" i="1" s="1"/>
  <c r="J19" i="1"/>
  <c r="M19" i="1" s="1"/>
  <c r="J20" i="1"/>
  <c r="J21" i="1"/>
  <c r="M21" i="1" s="1"/>
  <c r="J22" i="1"/>
  <c r="N22" i="1" s="1"/>
  <c r="J23" i="1"/>
  <c r="M23" i="1" s="1"/>
  <c r="J5" i="1"/>
  <c r="J6" i="1"/>
  <c r="M6" i="1" s="1"/>
  <c r="J7" i="1"/>
  <c r="M7" i="1" s="1"/>
  <c r="J8" i="1"/>
  <c r="N8" i="1" s="1"/>
  <c r="J9" i="1"/>
  <c r="M9" i="1" s="1"/>
  <c r="J10" i="1"/>
  <c r="M10" i="1" s="1"/>
  <c r="J11" i="1"/>
  <c r="M11" i="1" s="1"/>
  <c r="J4" i="1"/>
  <c r="M4" i="1" s="1"/>
  <c r="L5" i="1" l="1"/>
  <c r="O9" i="2" s="1"/>
  <c r="B52" i="1" s="1"/>
  <c r="L20" i="1"/>
  <c r="L16" i="1"/>
  <c r="L12" i="1"/>
  <c r="N4" i="1"/>
  <c r="N20" i="1"/>
  <c r="N16" i="1"/>
  <c r="N12" i="1"/>
  <c r="L22" i="1"/>
  <c r="L18" i="1"/>
  <c r="L14" i="1"/>
  <c r="L19" i="1"/>
  <c r="L15" i="1"/>
  <c r="N23" i="1"/>
  <c r="N19" i="1"/>
  <c r="N15" i="1"/>
  <c r="N11" i="1"/>
  <c r="N7" i="1"/>
  <c r="N10" i="1"/>
  <c r="N6" i="1"/>
  <c r="N21" i="1"/>
  <c r="N17" i="1"/>
  <c r="N13" i="1"/>
  <c r="N9" i="1"/>
  <c r="N5" i="1"/>
  <c r="O11" i="2" s="1"/>
  <c r="L21" i="1"/>
  <c r="L17" i="1"/>
  <c r="L13" i="1"/>
  <c r="L4" i="1"/>
  <c r="L8" i="1"/>
  <c r="L23" i="1"/>
  <c r="M12" i="1"/>
  <c r="L9" i="1"/>
  <c r="L11" i="1"/>
  <c r="L7" i="1"/>
  <c r="M5" i="1"/>
  <c r="O10" i="2" s="1"/>
  <c r="C65" i="1" s="1"/>
  <c r="M20" i="1"/>
  <c r="M16" i="1"/>
  <c r="L10" i="1"/>
  <c r="L6" i="1"/>
  <c r="M8" i="1"/>
  <c r="M22" i="1"/>
  <c r="M18" i="1"/>
  <c r="M14" i="1"/>
  <c r="E10" i="1"/>
  <c r="F10" i="1" s="1"/>
  <c r="E9" i="1"/>
  <c r="F9" i="1" s="1"/>
  <c r="E12" i="1"/>
  <c r="F12" i="1" s="1"/>
  <c r="E23" i="1"/>
  <c r="F23" i="1" s="1"/>
  <c r="E19" i="1"/>
  <c r="F19" i="1" s="1"/>
  <c r="E13" i="1"/>
  <c r="F13" i="1" s="1"/>
  <c r="E5" i="1"/>
  <c r="F5" i="1" s="1"/>
  <c r="E21" i="1"/>
  <c r="F21" i="1" s="1"/>
  <c r="E18" i="1"/>
  <c r="F18" i="1" s="1"/>
  <c r="E17" i="1"/>
  <c r="F17" i="1" s="1"/>
  <c r="E14" i="1"/>
  <c r="F14" i="1" s="1"/>
  <c r="E4" i="1"/>
  <c r="F4" i="1" s="1"/>
  <c r="E7" i="1"/>
  <c r="F7" i="1" s="1"/>
  <c r="E16" i="1"/>
  <c r="F16" i="1" s="1"/>
  <c r="E8" i="1"/>
  <c r="F8" i="1" s="1"/>
  <c r="E6" i="1"/>
  <c r="F6" i="1" s="1"/>
  <c r="E20" i="1"/>
  <c r="F20" i="1" s="1"/>
  <c r="E15" i="1"/>
  <c r="F15" i="1" s="1"/>
  <c r="E11" i="1"/>
  <c r="F11" i="1" s="1"/>
  <c r="E22" i="1"/>
  <c r="F22" i="1" s="1"/>
  <c r="B53" i="1" l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C66" i="1"/>
  <c r="C82" i="1"/>
  <c r="C67" i="1"/>
  <c r="C56" i="1"/>
  <c r="C72" i="1"/>
  <c r="C69" i="1"/>
  <c r="C77" i="1"/>
  <c r="C70" i="1"/>
  <c r="C55" i="1"/>
  <c r="C71" i="1"/>
  <c r="C60" i="1"/>
  <c r="C76" i="1"/>
  <c r="C57" i="1"/>
  <c r="C54" i="1"/>
  <c r="C52" i="1"/>
  <c r="C58" i="1"/>
  <c r="C74" i="1"/>
  <c r="C59" i="1"/>
  <c r="C75" i="1"/>
  <c r="C64" i="1"/>
  <c r="C80" i="1"/>
  <c r="C73" i="1"/>
  <c r="C81" i="1"/>
  <c r="C62" i="1"/>
  <c r="C78" i="1"/>
  <c r="C63" i="1"/>
  <c r="C79" i="1"/>
  <c r="C68" i="1"/>
  <c r="C53" i="1"/>
  <c r="C61" i="1"/>
  <c r="F24" i="1"/>
  <c r="G11" i="1" l="1"/>
  <c r="G23" i="1"/>
  <c r="G22" i="1"/>
  <c r="G7" i="1"/>
  <c r="G17" i="1"/>
  <c r="G5" i="1"/>
  <c r="G21" i="1"/>
  <c r="G10" i="1"/>
  <c r="G20" i="1"/>
  <c r="G16" i="1"/>
  <c r="G14" i="1"/>
  <c r="G4" i="1"/>
  <c r="H4" i="1" s="1"/>
  <c r="G19" i="1"/>
  <c r="G9" i="1"/>
  <c r="G15" i="1"/>
  <c r="G8" i="1"/>
  <c r="G6" i="1"/>
  <c r="G18" i="1"/>
  <c r="G13" i="1"/>
  <c r="G12" i="1"/>
  <c r="H5" i="1" l="1"/>
  <c r="I4" i="1"/>
  <c r="I5" i="1" l="1"/>
  <c r="H6" i="1"/>
  <c r="H7" i="1" l="1"/>
  <c r="I6" i="1"/>
  <c r="H8" i="1" l="1"/>
  <c r="I7" i="1"/>
  <c r="H9" i="1" l="1"/>
  <c r="I8" i="1"/>
  <c r="H10" i="1" l="1"/>
  <c r="I9" i="1"/>
  <c r="H11" i="1" l="1"/>
  <c r="I10" i="1"/>
  <c r="H12" i="1" l="1"/>
  <c r="I11" i="1"/>
  <c r="I12" i="1" l="1"/>
  <c r="H13" i="1"/>
  <c r="H14" i="1" l="1"/>
  <c r="I13" i="1"/>
  <c r="H15" i="1" l="1"/>
  <c r="I14" i="1"/>
  <c r="H16" i="1" l="1"/>
  <c r="I15" i="1"/>
  <c r="H17" i="1" l="1"/>
  <c r="I16" i="1"/>
  <c r="H18" i="1" l="1"/>
  <c r="I17" i="1"/>
  <c r="H19" i="1" l="1"/>
  <c r="I18" i="1"/>
  <c r="H20" i="1" l="1"/>
  <c r="I19" i="1"/>
  <c r="H21" i="1" l="1"/>
  <c r="I20" i="1"/>
  <c r="H22" i="1" l="1"/>
  <c r="I21" i="1"/>
  <c r="H23" i="1" l="1"/>
  <c r="I22" i="1"/>
  <c r="I23" i="1" l="1"/>
  <c r="B58" i="2" l="1"/>
  <c r="B57" i="2"/>
  <c r="B56" i="2"/>
  <c r="C56" i="2" s="1"/>
  <c r="C57" i="2" l="1"/>
  <c r="C58" i="2"/>
  <c r="Q17" i="2"/>
  <c r="T17" i="2"/>
  <c r="N17" i="2"/>
</calcChain>
</file>

<file path=xl/sharedStrings.xml><?xml version="1.0" encoding="utf-8"?>
<sst xmlns="http://schemas.openxmlformats.org/spreadsheetml/2006/main" count="98" uniqueCount="67">
  <si>
    <t>Inventory Item</t>
  </si>
  <si>
    <t>$ Value/Case</t>
  </si>
  <si>
    <t>Ordered/Week</t>
  </si>
  <si>
    <t>Ribeye Steak</t>
  </si>
  <si>
    <t>Lobster tail</t>
  </si>
  <si>
    <t>Pasta</t>
  </si>
  <si>
    <t>Salt</t>
  </si>
  <si>
    <t>Napkins</t>
  </si>
  <si>
    <t>Tomato Sauce</t>
  </si>
  <si>
    <t>French fries</t>
  </si>
  <si>
    <t>Pepper</t>
  </si>
  <si>
    <t>Garlic powder</t>
  </si>
  <si>
    <t>Trash can liners</t>
  </si>
  <si>
    <t>Table cloth</t>
  </si>
  <si>
    <t>Fish filets</t>
  </si>
  <si>
    <t>Prime rib roasts</t>
  </si>
  <si>
    <t>Oil</t>
  </si>
  <si>
    <t>Chickens</t>
  </si>
  <si>
    <t>Order pads</t>
  </si>
  <si>
    <t>Bacon</t>
  </si>
  <si>
    <t>Sugar</t>
  </si>
  <si>
    <t>Eggs (case)</t>
  </si>
  <si>
    <t>Lettuce (case)</t>
  </si>
  <si>
    <t>Inventory Items at Jean-Marie Bourjolly's Restaurant With ABC Analysis</t>
  </si>
  <si>
    <t>Quantity/Year</t>
  </si>
  <si>
    <t>Annual Dollar Volume 
($)</t>
  </si>
  <si>
    <t>ABC 
Category</t>
  </si>
  <si>
    <t>%Cumulatif</t>
  </si>
  <si>
    <t>% Volume Total</t>
  </si>
  <si>
    <t>Total ($)</t>
  </si>
  <si>
    <t>EOQ</t>
  </si>
  <si>
    <t>ROP</t>
  </si>
  <si>
    <t>Demand (year)</t>
  </si>
  <si>
    <t>Daily Demand</t>
  </si>
  <si>
    <t>Count</t>
  </si>
  <si>
    <t>% Share</t>
  </si>
  <si>
    <t>A</t>
  </si>
  <si>
    <t>B</t>
  </si>
  <si>
    <t>C</t>
  </si>
  <si>
    <t>Annual Dollar 
Volume ($)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</si>
  <si>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</si>
  <si>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</si>
  <si>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</si>
  <si>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</si>
  <si>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</si>
  <si>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</si>
  <si>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</si>
  <si>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</si>
  <si>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</si>
  <si>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</si>
  <si>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</si>
  <si>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</si>
  <si>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</si>
  <si>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</si>
  <si>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</si>
  <si>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</si>
  <si>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</si>
  <si>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</si>
  <si>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</si>
  <si>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</si>
  <si>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Day</t>
  </si>
  <si>
    <t>Inventory Level</t>
  </si>
  <si>
    <t>ROP Line</t>
  </si>
  <si>
    <t>Select Item</t>
  </si>
  <si>
    <t xml:space="preserve"> Code-Item</t>
  </si>
  <si>
    <t>Holding 
Cost (h)$</t>
  </si>
  <si>
    <t>BY: NUR LAILA KAMALIYAH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</si>
</sst>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FFFF"/>
      <name val="Montserrat"/>
    </font>
    <font>
      <sz val="10"/>
      <color rgb="FF181C1F"/>
      <name val="Roboto"/>
    </font>
    <font>
      <b/>
      <sz val="20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rgb="FFFFFFFF"/>
      <name val="Calibri"/>
      <family val="2"/>
      <scheme val="minor"/>
    </font>
    <font>
      <sz val="18"/>
      <color rgb="FF181B2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181B20"/>
      <name val="Calibri"/>
      <family val="2"/>
      <scheme val="minor"/>
    </font>
    <font>
      <sz val="12"/>
      <color rgb="FF181B2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181B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09C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medium">
        <color rgb="FF74777E"/>
      </left>
      <right style="medium">
        <color rgb="FF74777E"/>
      </right>
      <top style="medium">
        <color rgb="FF74777E"/>
      </top>
      <bottom style="medium">
        <color rgb="FF74777E"/>
      </bottom>
      <diagonal/>
    </border>
    <border>
      <left style="medium">
        <color rgb="FFCCCCCC"/>
      </left>
      <right style="medium">
        <color rgb="FF74777E"/>
      </right>
      <top style="medium">
        <color rgb="FF74777E"/>
      </top>
      <bottom style="medium">
        <color rgb="FF74777E"/>
      </bottom>
      <diagonal/>
    </border>
    <border>
      <left style="medium">
        <color rgb="FFCCCCCC"/>
      </left>
      <right style="medium">
        <color rgb="FFCCCCCC"/>
      </right>
      <top style="medium">
        <color rgb="FF74777E"/>
      </top>
      <bottom style="medium">
        <color rgb="FF74777E"/>
      </bottom>
      <diagonal/>
    </border>
    <border>
      <left style="medium">
        <color rgb="FF74777E"/>
      </left>
      <right style="medium">
        <color rgb="FF74777E"/>
      </right>
      <top style="medium">
        <color rgb="FFCCCCCC"/>
      </top>
      <bottom style="medium">
        <color rgb="FF74777E"/>
      </bottom>
      <diagonal/>
    </border>
    <border>
      <left style="medium">
        <color rgb="FFCCCCCC"/>
      </left>
      <right style="medium">
        <color rgb="FF74777E"/>
      </right>
      <top style="medium">
        <color rgb="FFCCCCCC"/>
      </top>
      <bottom style="medium">
        <color rgb="FF74777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09C20"/>
      </left>
      <right style="thin">
        <color rgb="FFF09C20"/>
      </right>
      <top style="thin">
        <color rgb="FFF09C20"/>
      </top>
      <bottom style="thin">
        <color rgb="FFF09C2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09C20"/>
      </left>
      <right/>
      <top style="thin">
        <color rgb="FFF09C20"/>
      </top>
      <bottom style="thin">
        <color rgb="FFF09C20"/>
      </bottom>
      <diagonal/>
    </border>
    <border>
      <left/>
      <right style="thin">
        <color rgb="FFF09C20"/>
      </right>
      <top style="thin">
        <color rgb="FFF09C20"/>
      </top>
      <bottom style="thin">
        <color rgb="FFF09C20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/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5" fillId="4" borderId="0" xfId="0" applyFont="1" applyFill="1"/>
    <xf numFmtId="0" fontId="5" fillId="0" borderId="0" xfId="0" applyFont="1"/>
    <xf numFmtId="0" fontId="6" fillId="3" borderId="1" xfId="0" applyFont="1" applyFill="1" applyBorder="1"/>
    <xf numFmtId="2" fontId="3" fillId="0" borderId="0" xfId="0" applyNumberFormat="1" applyFont="1"/>
    <xf numFmtId="0" fontId="8" fillId="0" borderId="0" xfId="0" applyFont="1"/>
    <xf numFmtId="0" fontId="0" fillId="6" borderId="0" xfId="0" applyFill="1"/>
    <xf numFmtId="0" fontId="9" fillId="6" borderId="2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wrapText="1"/>
    </xf>
    <xf numFmtId="0" fontId="10" fillId="7" borderId="6" xfId="0" applyFont="1" applyFill="1" applyBorder="1" applyAlignment="1">
      <alignment horizontal="right" wrapText="1"/>
    </xf>
    <xf numFmtId="10" fontId="10" fillId="7" borderId="6" xfId="0" applyNumberFormat="1" applyFont="1" applyFill="1" applyBorder="1" applyAlignment="1">
      <alignment horizontal="right" wrapText="1"/>
    </xf>
    <xf numFmtId="0" fontId="9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/>
    </xf>
    <xf numFmtId="0" fontId="10" fillId="6" borderId="0" xfId="0" applyFont="1" applyFill="1" applyAlignment="1">
      <alignment wrapText="1"/>
    </xf>
    <xf numFmtId="0" fontId="10" fillId="6" borderId="0" xfId="0" applyFont="1" applyFill="1" applyAlignment="1">
      <alignment horizontal="right" wrapText="1"/>
    </xf>
    <xf numFmtId="10" fontId="10" fillId="6" borderId="0" xfId="0" applyNumberFormat="1" applyFont="1" applyFill="1" applyAlignment="1">
      <alignment horizontal="right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wrapText="1"/>
    </xf>
    <xf numFmtId="0" fontId="16" fillId="5" borderId="0" xfId="0" applyFont="1" applyFill="1" applyAlignment="1">
      <alignment wrapText="1"/>
    </xf>
    <xf numFmtId="0" fontId="16" fillId="6" borderId="0" xfId="0" applyFont="1" applyFill="1" applyAlignment="1">
      <alignment vertical="center" wrapText="1"/>
    </xf>
    <xf numFmtId="0" fontId="17" fillId="6" borderId="0" xfId="0" applyFont="1" applyFill="1" applyAlignment="1">
      <alignment wrapText="1"/>
    </xf>
    <xf numFmtId="0" fontId="16" fillId="6" borderId="0" xfId="0" applyFont="1" applyFill="1" applyAlignment="1">
      <alignment wrapText="1"/>
    </xf>
    <xf numFmtId="0" fontId="11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19" fillId="8" borderId="17" xfId="0" applyFont="1" applyFill="1" applyBorder="1" applyAlignment="1">
      <alignment vertical="center" wrapText="1"/>
    </xf>
    <xf numFmtId="0" fontId="17" fillId="5" borderId="0" xfId="0" applyFont="1" applyFill="1" applyAlignment="1">
      <alignment horizontal="left" wrapText="1"/>
    </xf>
    <xf numFmtId="2" fontId="5" fillId="0" borderId="0" xfId="0" applyNumberFormat="1" applyFont="1"/>
    <xf numFmtId="0" fontId="6" fillId="2" borderId="21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/>
    </xf>
    <xf numFmtId="0" fontId="5" fillId="4" borderId="21" xfId="0" applyFont="1" applyFill="1" applyBorder="1"/>
    <xf numFmtId="0" fontId="5" fillId="4" borderId="21" xfId="0" applyFont="1" applyFill="1" applyBorder="1" applyAlignment="1">
      <alignment horizontal="center"/>
    </xf>
    <xf numFmtId="164" fontId="5" fillId="4" borderId="2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23" fillId="0" borderId="0" xfId="0" applyFont="1"/>
    <xf numFmtId="0" fontId="25" fillId="0" borderId="0" xfId="0" applyFont="1"/>
    <xf numFmtId="0" fontId="1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0" fillId="9" borderId="16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21" fillId="10" borderId="13" xfId="0" applyFont="1" applyFill="1" applyBorder="1" applyAlignment="1">
      <alignment horizontal="center" vertical="center"/>
    </xf>
    <xf numFmtId="0" fontId="21" fillId="10" borderId="14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1" fillId="12" borderId="12" xfId="0" applyFont="1" applyFill="1" applyBorder="1" applyAlignment="1">
      <alignment horizontal="center" vertical="center"/>
    </xf>
    <xf numFmtId="0" fontId="21" fillId="12" borderId="13" xfId="0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0" fillId="9" borderId="18" xfId="0" applyFont="1" applyFill="1" applyBorder="1" applyAlignment="1">
      <alignment horizontal="center" vertical="center"/>
    </xf>
    <xf numFmtId="0" fontId="20" fillId="9" borderId="19" xfId="0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20" fillId="0" borderId="0" xfId="0" applyFont="1" applyAlignment="1"/>
    <xf numFmtId="0" fontId="26" fillId="6" borderId="0" xfId="0" applyFont="1" applyFill="1"/>
    <xf numFmtId="0" fontId="27" fillId="6" borderId="0" xfId="0" applyFont="1" applyFill="1" applyAlignment="1">
      <alignment horizontal="left"/>
    </xf>
  </cellXfs>
  <cellStyles count="1"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5" tint="-0.249977111117893"/>
        <name val="Calibri"/>
        <family val="2"/>
        <scheme val="minor"/>
      </font>
      <fill>
        <patternFill patternType="solid">
          <fgColor indexed="64"/>
          <bgColor rgb="FFF9F9FF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73777E"/>
        </right>
        <top style="medium">
          <color rgb="FFCCCCCC"/>
        </top>
        <bottom style="medium">
          <color rgb="FF73777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5" tint="-0.249977111117893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73777E"/>
        </right>
        <top style="medium">
          <color rgb="FFCCCCCC"/>
        </top>
        <bottom style="medium">
          <color rgb="FF73777E"/>
        </bottom>
      </border>
    </dxf>
    <dxf>
      <font>
        <b val="0"/>
        <strike val="0"/>
        <outline val="0"/>
        <shadow val="0"/>
        <u val="none"/>
        <vertAlign val="baseline"/>
        <sz val="18"/>
        <color theme="5" tint="-0.249977111117893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border outline="0">
        <top style="medium">
          <color rgb="FF73777E"/>
        </top>
      </border>
    </dxf>
    <dxf>
      <font>
        <b val="0"/>
        <strike val="0"/>
        <outline val="0"/>
        <shadow val="0"/>
        <u val="none"/>
        <vertAlign val="baseline"/>
        <sz val="18"/>
        <color theme="5" tint="-0.249977111117893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border outline="0">
        <bottom style="medium">
          <color rgb="FF73777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alibri"/>
        <family val="2"/>
        <scheme val="minor"/>
      </font>
      <fill>
        <patternFill patternType="solid">
          <fgColor indexed="64"/>
          <bgColor theme="5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09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ABC</a:t>
            </a:r>
            <a:r>
              <a:rPr lang="en-US" sz="2800" b="1" baseline="0">
                <a:solidFill>
                  <a:schemeClr val="tx1"/>
                </a:solidFill>
              </a:rPr>
              <a:t> %</a:t>
            </a:r>
            <a:endParaRPr lang="en-US" sz="2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Dashboard!$B$55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7E-45E4-BA11-ADEE6BF08A9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37E-45E4-BA11-ADEE6BF08A9D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37E-45E4-BA11-ADEE6BF08A9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Dashboard!$A$56:$A$58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Dashboard!$B$56:$B$58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E-45E4-BA11-ADEE6BF08A9D}"/>
            </c:ext>
          </c:extLst>
        </c:ser>
        <c:ser>
          <c:idx val="1"/>
          <c:order val="1"/>
          <c:tx>
            <c:strRef>
              <c:f>Dashboard!$C$55</c:f>
              <c:strCache>
                <c:ptCount val="1"/>
                <c:pt idx="0">
                  <c:v>% Share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A9-4A16-829F-AB513F7DD07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A9-4A16-829F-AB513F7DD07D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A9-4A16-829F-AB513F7DD07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Dashboard!$A$56:$A$58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Dashboard!$C$56:$C$58</c:f>
              <c:numCache>
                <c:formatCode>0.00%</c:formatCode>
                <c:ptCount val="3"/>
                <c:pt idx="0">
                  <c:v>0.3</c:v>
                </c:pt>
                <c:pt idx="1">
                  <c:v>0.2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E-45E4-BA11-ADEE6BF08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09C2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30 Day-Inventory</a:t>
            </a:r>
            <a:r>
              <a:rPr lang="en-US" sz="1800" b="1" baseline="0">
                <a:solidFill>
                  <a:schemeClr val="tx1"/>
                </a:solidFill>
              </a:rPr>
              <a:t> Simulation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4.7156894889224941E-2"/>
          <c:y val="2.1919172713277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Master_Data!$B$51</c:f>
              <c:strCache>
                <c:ptCount val="1"/>
                <c:pt idx="0">
                  <c:v>Inventory Level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Master_Data!$A$52:$A$82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Master_Data!$B$52:$B$82</c:f>
              <c:numCache>
                <c:formatCode>General</c:formatCode>
                <c:ptCount val="31"/>
                <c:pt idx="0">
                  <c:v>88</c:v>
                </c:pt>
                <c:pt idx="1">
                  <c:v>83.441095890410963</c:v>
                </c:pt>
                <c:pt idx="2">
                  <c:v>78.882191780821927</c:v>
                </c:pt>
                <c:pt idx="3">
                  <c:v>74.32328767123289</c:v>
                </c:pt>
                <c:pt idx="4">
                  <c:v>69.764383561643854</c:v>
                </c:pt>
                <c:pt idx="5">
                  <c:v>65.205479452054817</c:v>
                </c:pt>
                <c:pt idx="6">
                  <c:v>60.646575342465773</c:v>
                </c:pt>
                <c:pt idx="7">
                  <c:v>56.08767123287673</c:v>
                </c:pt>
                <c:pt idx="8">
                  <c:v>51.528767123287686</c:v>
                </c:pt>
                <c:pt idx="9">
                  <c:v>46.969863013698642</c:v>
                </c:pt>
                <c:pt idx="10">
                  <c:v>42.410958904109599</c:v>
                </c:pt>
                <c:pt idx="11">
                  <c:v>37.852054794520555</c:v>
                </c:pt>
                <c:pt idx="12">
                  <c:v>33.293150684931511</c:v>
                </c:pt>
                <c:pt idx="13">
                  <c:v>28.734246575342471</c:v>
                </c:pt>
                <c:pt idx="14">
                  <c:v>24.175342465753431</c:v>
                </c:pt>
                <c:pt idx="15">
                  <c:v>19.616438356164391</c:v>
                </c:pt>
                <c:pt idx="16">
                  <c:v>15.057534246575351</c:v>
                </c:pt>
                <c:pt idx="17">
                  <c:v>10.498630136986311</c:v>
                </c:pt>
                <c:pt idx="18">
                  <c:v>5.9397260273972696</c:v>
                </c:pt>
                <c:pt idx="19">
                  <c:v>1.3808219178082286</c:v>
                </c:pt>
                <c:pt idx="20">
                  <c:v>-3.1780821917808124</c:v>
                </c:pt>
                <c:pt idx="21">
                  <c:v>88</c:v>
                </c:pt>
                <c:pt idx="22">
                  <c:v>83.441095890410963</c:v>
                </c:pt>
                <c:pt idx="23">
                  <c:v>78.882191780821927</c:v>
                </c:pt>
                <c:pt idx="24">
                  <c:v>74.32328767123289</c:v>
                </c:pt>
                <c:pt idx="25">
                  <c:v>69.764383561643854</c:v>
                </c:pt>
                <c:pt idx="26">
                  <c:v>65.205479452054817</c:v>
                </c:pt>
                <c:pt idx="27">
                  <c:v>60.646575342465773</c:v>
                </c:pt>
                <c:pt idx="28">
                  <c:v>56.08767123287673</c:v>
                </c:pt>
                <c:pt idx="29">
                  <c:v>51.528767123287686</c:v>
                </c:pt>
                <c:pt idx="30">
                  <c:v>46.969863013698642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9-43C9-BC4E-0C27B4382E49}"/>
            </c:ext>
          </c:extLst>
        </c:ser>
        <c:ser>
          <c:idx val="1"/>
          <c:order val="1"/>
          <c:tx>
            <c:strRef>
              <c:f>Master_Data!$C$51</c:f>
              <c:strCache>
                <c:ptCount val="1"/>
                <c:pt idx="0">
                  <c:v>ROP Line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Master_Data!$A$52:$A$82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Master_Data!$C$52:$C$82</c:f>
              <c:numCache>
                <c:formatCode>General</c:formatCode>
                <c:ptCount val="3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9-43C9-BC4E-0C27B4382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000624"/>
        <c:axId val="1404721936"/>
      </c:lineChart>
      <c:catAx>
        <c:axId val="140400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21936"/>
        <c:crosses val="autoZero"/>
        <c:auto val="1"/>
        <c:lblAlgn val="ctr"/>
        <c:lblOffset val="100"/>
        <c:noMultiLvlLbl val="0"/>
      </c:catAx>
      <c:valAx>
        <c:axId val="1404721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0624"/>
        <c:crosses val="autoZero"/>
        <c:crossBetween val="between"/>
      </c:valAx>
      <c:spPr>
        <a:noFill/>
        <a:ln>
          <a:solidFill>
            <a:schemeClr val="accent5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2">
            <a:lumMod val="40000"/>
            <a:lumOff val="60000"/>
          </a:schemeClr>
        </a:gs>
        <a:gs pos="50000">
          <a:schemeClr val="accent4">
            <a:lumMod val="20000"/>
            <a:lumOff val="80000"/>
          </a:schemeClr>
        </a:gs>
        <a:gs pos="100000">
          <a:srgbClr val="F09C20"/>
        </a:gs>
      </a:gsLst>
      <a:path path="circle">
        <a:fillToRect t="100000" r="100000"/>
      </a:path>
      <a:tileRect l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ABC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chemeClr val="tx1"/>
              </a:solidFill>
            </a:defRPr>
          </a:pPr>
          <a:r>
            <a:rPr lang="en-US" sz="2400" b="1" i="0" u="none" strike="noStrike" baseline="0">
              <a:solidFill>
                <a:schemeClr val="tx1"/>
              </a:solidFill>
              <a:latin typeface="Calibri" panose="020F0502020204030204"/>
            </a:rPr>
            <a:t>ABC Analysis</a:t>
          </a:r>
        </a:p>
      </cx:txPr>
    </cx:title>
    <cx:plotArea>
      <cx:plotAreaRegion>
        <cx:series layoutId="clusteredColumn" uniqueId="{FDDC3849-2520-465D-8609-2E54D25BDF49}" formatIdx="0">
          <cx:tx>
            <cx:txData>
              <cx:f>_xlchart.v1.1</cx:f>
              <cx:v>Annual Dollar Volume 
($)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3E4FE37E-5E69-4557-B49F-A0316E1C0225}" formatIdx="1">
          <cx:axisId val="2"/>
        </cx:series>
        <cx:series layoutId="clusteredColumn" hidden="1" uniqueId="{1002A7F2-39BA-4131-BF51-AF9FD8DFAF99}" formatIdx="2">
          <cx:tx>
            <cx:txData>
              <cx:f>_xlchart.v1.3</cx:f>
              <cx:v>%Cumulatif</cx:v>
            </cx:txData>
          </cx:tx>
          <cx:dataId val="1"/>
          <cx:layoutPr>
            <cx:aggregation/>
          </cx:layoutPr>
          <cx:axisId val="1"/>
        </cx:series>
        <cx:series layoutId="paretoLine" ownerIdx="2" uniqueId="{7EB24BDF-04B2-4C01-89F4-E889FF1962F9}" formatIdx="3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2">
        <cx:valScaling max="1" min="0"/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spPr>
    <a:gradFill flip="none" rotWithShape="1">
      <a:gsLst>
        <a:gs pos="0">
          <a:schemeClr val="accent2">
            <a:lumMod val="5000"/>
            <a:lumOff val="95000"/>
          </a:schemeClr>
        </a:gs>
        <a:gs pos="74000">
          <a:srgbClr val="F09C20"/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  <a:tileRect/>
    </a:gra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1402415</xdr:colOff>
      <xdr:row>36</xdr:row>
      <xdr:rowOff>86058</xdr:rowOff>
    </xdr:from>
    <xdr:to>
      <xdr:col>7</xdr:col>
      <xdr:colOff>82659</xdr:colOff>
      <xdr:row>37</xdr:row>
      <xdr:rowOff>249115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8B02D83-566B-D2A2-B1B5-5D2C36E5B886}"/>
            </a:ext>
          </a:extLst>
        </xdr:cNvPr>
        <xdr:cNvSpPr txBox="1"/>
      </xdr:nvSpPr>
      <xdr:spPr>
        <a:xfrm>
          <a:off x="12480723" y="11032481"/>
          <a:ext cx="438705" cy="45613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800"/>
        </a:p>
      </xdr:txBody>
    </xdr:sp>
    <xdr:clientData/>
  </xdr:twoCellAnchor>
  <xdr:twoCellAnchor>
    <xdr:from>
      <xdr:col>11</xdr:col>
      <xdr:colOff>990728</xdr:colOff>
      <xdr:row>27</xdr:row>
      <xdr:rowOff>4291</xdr:rowOff>
    </xdr:from>
    <xdr:to>
      <xdr:col>12</xdr:col>
      <xdr:colOff>339938</xdr:colOff>
      <xdr:row>28</xdr:row>
      <xdr:rowOff>170194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7C7D294-FE63-42F1-97A3-D0BBB923D770}"/>
            </a:ext>
          </a:extLst>
        </xdr:cNvPr>
        <xdr:cNvSpPr txBox="1"/>
      </xdr:nvSpPr>
      <xdr:spPr>
        <a:xfrm>
          <a:off x="19371951" y="8678121"/>
          <a:ext cx="443572" cy="46989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113514</xdr:rowOff>
    </xdr:from>
    <xdr:to>
      <xdr:col>22</xdr:col>
      <xdr:colOff>1588</xdr:colOff>
      <xdr:row>4</xdr:row>
      <xdr:rowOff>31198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478A4BA-5714-4416-A5DE-6DB08AE15C3A}"/>
            </a:ext>
          </a:extLst>
        </xdr:cNvPr>
        <xdr:cNvSpPr/>
      </xdr:nvSpPr>
      <xdr:spPr>
        <a:xfrm>
          <a:off x="0" y="298722"/>
          <a:ext cx="16088255" cy="473309"/>
        </a:xfrm>
        <a:prstGeom prst="rect">
          <a:avLst/>
        </a:prstGeom>
        <a:solidFill>
          <a:srgbClr val="F09C20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aseline="0">
              <a:solidFill>
                <a:schemeClr val="tx1"/>
              </a:solidFill>
              <a:latin typeface="Aharoni" panose="02010803020104030203" pitchFamily="2" charset="-79"/>
              <a:cs typeface="Aharoni" panose="02010803020104030203" pitchFamily="2" charset="-79"/>
            </a:rPr>
            <a:t>Inventory Items at Jean-Marie Bourjolly's Restaurant Dashboard</a:t>
          </a:r>
          <a:endParaRPr lang="en-US" sz="3200">
            <a:solidFill>
              <a:schemeClr val="tx1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184355</xdr:colOff>
      <xdr:row>23</xdr:row>
      <xdr:rowOff>173182</xdr:rowOff>
    </xdr:from>
    <xdr:to>
      <xdr:col>12</xdr:col>
      <xdr:colOff>176673</xdr:colOff>
      <xdr:row>48</xdr:row>
      <xdr:rowOff>99575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1DFE3C-378E-4086-AAB6-80B7EF93F5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355" y="5631007"/>
              <a:ext cx="9583993" cy="4688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432955</xdr:colOff>
      <xdr:row>4</xdr:row>
      <xdr:rowOff>64943</xdr:rowOff>
    </xdr:from>
    <xdr:to>
      <xdr:col>12</xdr:col>
      <xdr:colOff>454602</xdr:colOff>
      <xdr:row>49</xdr:row>
      <xdr:rowOff>108239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5E86D81-2FB7-8722-F4BF-1A84F12D1E9E}"/>
            </a:ext>
          </a:extLst>
        </xdr:cNvPr>
        <xdr:cNvCxnSpPr/>
      </xdr:nvCxnSpPr>
      <xdr:spPr>
        <a:xfrm>
          <a:off x="10039134" y="822613"/>
          <a:ext cx="21647" cy="9654887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567447</xdr:colOff>
      <xdr:row>23</xdr:row>
      <xdr:rowOff>162128</xdr:rowOff>
    </xdr:from>
    <xdr:to>
      <xdr:col>21</xdr:col>
      <xdr:colOff>52917</xdr:colOff>
      <xdr:row>48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B74AA4-6A53-D1B0-CD43-5974AF760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233632</xdr:colOff>
      <xdr:row>6</xdr:row>
      <xdr:rowOff>36635</xdr:rowOff>
    </xdr:from>
    <xdr:to>
      <xdr:col>12</xdr:col>
      <xdr:colOff>126999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6558F-AB87-4727-933E-EE53595F5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161603</xdr:colOff>
      <xdr:row>5</xdr:row>
      <xdr:rowOff>181938</xdr:rowOff>
    </xdr:from>
    <xdr:to>
      <xdr:col>20</xdr:col>
      <xdr:colOff>892968</xdr:colOff>
      <xdr:row>11</xdr:row>
      <xdr:rowOff>21405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75AE532-E4A6-E454-92B7-9B7C1BD3F2FB}"/>
            </a:ext>
          </a:extLst>
        </xdr:cNvPr>
        <xdr:cNvSpPr/>
      </xdr:nvSpPr>
      <xdr:spPr>
        <a:xfrm>
          <a:off x="12830935" y="1129026"/>
          <a:ext cx="3177559" cy="2063771"/>
        </a:xfrm>
        <a:prstGeom prst="rect">
          <a:avLst/>
        </a:prstGeom>
        <a:solidFill>
          <a:srgbClr val="F09C2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369093</xdr:colOff>
      <xdr:row>6</xdr:row>
      <xdr:rowOff>190500</xdr:rowOff>
    </xdr:from>
    <xdr:to>
      <xdr:col>20</xdr:col>
      <xdr:colOff>702468</xdr:colOff>
      <xdr:row>8</xdr:row>
      <xdr:rowOff>34018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2C1C494B-DF2A-4CDE-FB9E-8D0BDB0C55EA}"/>
            </a:ext>
          </a:extLst>
        </xdr:cNvPr>
        <xdr:cNvSpPr/>
      </xdr:nvSpPr>
      <xdr:spPr>
        <a:xfrm>
          <a:off x="13038425" y="1327006"/>
          <a:ext cx="2779569" cy="666131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The Item with</a:t>
          </a:r>
          <a:r>
            <a:rPr lang="en-US" sz="1400" b="1" baseline="0">
              <a:solidFill>
                <a:schemeClr val="tx1"/>
              </a:solidFill>
            </a:rPr>
            <a:t> </a:t>
          </a:r>
          <a:r>
            <a:rPr lang="en-US" sz="1400" b="1">
              <a:solidFill>
                <a:schemeClr val="tx1"/>
              </a:solidFill>
            </a:rPr>
            <a:t>The Highest Annual Value</a:t>
          </a:r>
          <a:r>
            <a:rPr lang="en-US" sz="1400" b="1" baseline="0">
              <a:solidFill>
                <a:schemeClr val="tx1"/>
              </a:solidFill>
            </a:rPr>
            <a:t> (SKU)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377031</xdr:colOff>
      <xdr:row>8</xdr:row>
      <xdr:rowOff>136070</xdr:rowOff>
    </xdr:from>
    <xdr:to>
      <xdr:col>20</xdr:col>
      <xdr:colOff>714374</xdr:colOff>
      <xdr:row>10</xdr:row>
      <xdr:rowOff>76540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D97AB29-92A1-FFC1-676C-070ABF021EA1}"/>
            </a:ext>
          </a:extLst>
        </xdr:cNvPr>
        <xdr:cNvSpPr/>
      </xdr:nvSpPr>
      <xdr:spPr>
        <a:xfrm>
          <a:off x="13046363" y="2095189"/>
          <a:ext cx="2783537" cy="541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74360</a:t>
          </a:r>
        </a:p>
      </xdr:txBody>
    </xdr:sp>
    <xdr:clientData/>
  </xdr:twoCellAnchor>
  <xdr:twoCellAnchor>
    <xdr:from>
      <xdr:col>19</xdr:col>
      <xdr:colOff>360794</xdr:colOff>
      <xdr:row>10</xdr:row>
      <xdr:rowOff>98982</xdr:rowOff>
    </xdr:from>
    <xdr:to>
      <xdr:col>23</xdr:col>
      <xdr:colOff>320504</xdr:colOff>
      <xdr:row>10</xdr:row>
      <xdr:rowOff>421110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B39F3B2-12EB-46D2-8FCC-D7A791624AFF}"/>
            </a:ext>
          </a:extLst>
        </xdr:cNvPr>
        <xdr:cNvSpPr txBox="1"/>
      </xdr:nvSpPr>
      <xdr:spPr>
        <a:xfrm>
          <a:off x="14864771" y="2658826"/>
          <a:ext cx="2400492" cy="322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1">
              <a:solidFill>
                <a:schemeClr val="tx1"/>
              </a:solidFill>
            </a:rPr>
            <a:t>Fish Fillets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0F243-7590-486C-9C40-AD4A7B79D7E4}" name="Table1" displayName="Table1" ref="A3:N24" totalsRowCount="1" headerRowDxfId="40" dataDxfId="39" totalsRowDxfId="38">
  <autoFilter ref="A3:N23" xr:uid="{9BD0F243-7590-486C-9C40-AD4A7B79D7E4}"/>
  <sortState xmlns:xlrd2="http://schemas.microsoft.com/office/spreadsheetml/2017/richdata2" ref="B4:I23">
    <sortCondition descending="1" ref="F3:F23"/>
  </sortState>
  <tableColumns count="14">
    <tableColumn id="14" xr3:uid="{6660B9CB-E270-474B-BBEF-F0A013ACBB46}" name=" Code-Item" dataDxfId="37" totalsRowDxfId="36"/>
    <tableColumn id="1" xr3:uid="{1E2C91E7-8B00-46BF-9DE9-C3A254C07E28}" name="Inventory Item" totalsRowLabel="Total ($)" dataDxfId="35" totalsRowDxfId="34"/>
    <tableColumn id="2" xr3:uid="{6673F5F6-F881-441D-BC52-DEBB542D8645}" name="$ Value/Case" dataDxfId="33" totalsRowDxfId="32"/>
    <tableColumn id="3" xr3:uid="{EA93A4A1-3733-4855-8693-01B721D2F03C}" name="Ordered/Week" dataDxfId="31" totalsRowDxfId="30"/>
    <tableColumn id="4" xr3:uid="{09365408-2B44-4FB5-9842-52EB54B3DACF}" name="Quantity/Year" dataDxfId="29" totalsRowDxfId="28">
      <calculatedColumnFormula>Table1[[#This Row],[Ordered/Week]]*52</calculatedColumnFormula>
    </tableColumn>
    <tableColumn id="5" xr3:uid="{EE94DE5D-AF73-49B3-BFEB-78D1062BCA69}" name="Annual Dollar _x000a_Volume ($)" totalsRowFunction="custom" dataDxfId="27" totalsRowDxfId="26">
      <calculatedColumnFormula>Table1[[#This Row],[Quantity/Year]]*Table1[[#This Row],[$ Value/Case]]</calculatedColumnFormula>
      <totalsRowFormula>SUM(Table1[Annual Dollar 
Volume ($)])</totalsRowFormula>
    </tableColumn>
    <tableColumn id="6" xr3:uid="{BE0AFE66-204B-4923-B96F-B91DB9513803}" name="% Volume Total" dataDxfId="25" totalsRowDxfId="24">
      <calculatedColumnFormula>Table1[[#This Row],[Annual Dollar 
Volume ($)]]/Table1[[#Totals],[Annual Dollar 
Volume ($)]]*100</calculatedColumnFormula>
    </tableColumn>
    <tableColumn id="7" xr3:uid="{85B95C0B-A894-4FF7-BF25-BECE41B1FDF2}" name="%Cumulatif" dataDxfId="23" totalsRowDxfId="22">
      <calculatedColumnFormula array="1">Table1[[#This Row],[% Volume Total]]+A2:E6</calculatedColumnFormula>
    </tableColumn>
    <tableColumn id="8" xr3:uid="{D8822058-C22D-45A7-8A37-6BCF22DE0659}" name="ABC _x000a_Category" dataDxfId="21" totalsRowDxfId="20">
      <calculatedColumnFormula>IF(H4&lt;=80, "A", IF(H4&lt;=95, "B", "C"))</calculatedColumnFormula>
    </tableColumn>
    <tableColumn id="9" xr3:uid="{B2B72D2B-E0E1-4330-B676-54161EAEF456}" name="Demand (year)" dataDxfId="19" totalsRowDxfId="18">
      <calculatedColumnFormula>Table1[[#This Row],[Ordered/Week]]*52</calculatedColumnFormula>
    </tableColumn>
    <tableColumn id="10" xr3:uid="{C425E311-5F49-46DC-8190-4495E1ECC671}" name="Holding _x000a_Cost (h)$" dataDxfId="17" totalsRowDxfId="16"/>
    <tableColumn id="11" xr3:uid="{E58F4F7C-A5E5-4595-971D-763A2041D1A2}" name="EOQ" dataDxfId="15" totalsRowDxfId="14"/>
    <tableColumn id="12" xr3:uid="{45382A0B-DF97-4F19-A58E-CF23693B015C}" name="ROP" dataDxfId="13" totalsRowDxfId="12"/>
    <tableColumn id="13" xr3:uid="{4DEDE620-88ED-42CF-951A-E94C172E2B75}" name="Daily Demand" dataDxfId="11" totalsRowDxfId="10">
      <calculatedColumnFormula>J4/365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A0EBB7-D783-4392-967C-4B2F4BF066FE}" name="Table4" displayName="Table4" ref="A51:C82" totalsRowShown="0" headerRowDxfId="9" dataDxfId="7" headerRowBorderDxfId="8" tableBorderDxfId="6">
  <autoFilter ref="A51:C82" xr:uid="{CBA0EBB7-D783-4392-967C-4B2F4BF066FE}"/>
  <tableColumns count="3">
    <tableColumn id="1" xr3:uid="{258CFC9F-3D56-447F-8CAD-6889D928E803}" name="Day" dataDxfId="5"/>
    <tableColumn id="2" xr3:uid="{7A5EF7DE-A8F0-4989-BCB1-8DA03EACF87D}" name="Inventory Level" dataDxfId="4"/>
    <tableColumn id="3" xr3:uid="{614FF388-E4E6-40BA-8BAA-597280083A9E}" name="ROP Line" dataDxfId="3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A420-A2D9-41B4-BD46-35E89CD14712}">
  <dimension ref="A1:U82"/>
  <sheetViews>
    <sheetView topLeftCell="E7" zoomScale="58" zoomScaleNormal="100" workbookViewId="0">
      <selection activeCell="D52" sqref="D52"/>
    </sheetView>
  </sheetViews>
  <sheetFormatPr defaultRowHeight="15" x14ac:dyDescent="0.25"/>
  <cols>
    <col min="1" max="1" width="24.7109375" customWidth="1"/>
    <col min="2" max="2" width="25.42578125" customWidth="1"/>
    <col min="3" max="3" width="25.7109375" customWidth="1"/>
    <col min="4" max="4" width="31" customWidth="1"/>
    <col min="5" max="5" width="30.42578125" customWidth="1"/>
    <col min="6" max="6" width="23" customWidth="1"/>
    <col min="7" max="7" width="26.28515625" customWidth="1"/>
    <col min="8" max="8" width="22" customWidth="1"/>
    <col min="9" max="9" width="24" customWidth="1"/>
    <col min="10" max="10" width="29.85546875" customWidth="1"/>
    <col min="11" max="11" width="19.28515625" customWidth="1"/>
    <col min="12" max="12" width="16.42578125" customWidth="1"/>
    <col min="13" max="13" width="22.42578125" customWidth="1"/>
    <col min="14" max="14" width="25.42578125" customWidth="1"/>
    <col min="16" max="16" width="12" customWidth="1"/>
    <col min="17" max="17" width="18" customWidth="1"/>
    <col min="19" max="19" width="14.42578125" customWidth="1"/>
  </cols>
  <sheetData>
    <row r="1" spans="1:21" ht="18.75" customHeight="1" x14ac:dyDescent="0.25">
      <c r="A1" s="87" t="s">
        <v>23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21" ht="30" customHeight="1" x14ac:dyDescent="0.3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S2" s="4"/>
      <c r="T2" s="10"/>
    </row>
    <row r="3" spans="1:21" ht="61.5" customHeight="1" x14ac:dyDescent="0.25">
      <c r="A3" s="3" t="s">
        <v>64</v>
      </c>
      <c r="B3" s="3" t="s">
        <v>0</v>
      </c>
      <c r="C3" s="3" t="s">
        <v>1</v>
      </c>
      <c r="D3" s="3" t="s">
        <v>2</v>
      </c>
      <c r="E3" s="3" t="s">
        <v>24</v>
      </c>
      <c r="F3" s="2" t="s">
        <v>39</v>
      </c>
      <c r="G3" s="2" t="s">
        <v>28</v>
      </c>
      <c r="H3" s="3" t="s">
        <v>27</v>
      </c>
      <c r="I3" s="2" t="s">
        <v>26</v>
      </c>
      <c r="J3" s="3" t="s">
        <v>32</v>
      </c>
      <c r="K3" s="2" t="s">
        <v>65</v>
      </c>
      <c r="L3" s="3" t="s">
        <v>30</v>
      </c>
      <c r="M3" s="3" t="s">
        <v>31</v>
      </c>
      <c r="N3" s="3" t="s">
        <v>33</v>
      </c>
      <c r="U3" s="10"/>
    </row>
    <row r="4" spans="1:21" ht="23.25" x14ac:dyDescent="0.35">
      <c r="A4" s="4" t="s">
        <v>40</v>
      </c>
      <c r="B4" s="4" t="s">
        <v>14</v>
      </c>
      <c r="C4" s="5">
        <v>143</v>
      </c>
      <c r="D4" s="5">
        <v>10</v>
      </c>
      <c r="E4" s="5">
        <f>Table1[[#This Row],[Ordered/Week]]*52</f>
        <v>520</v>
      </c>
      <c r="F4" s="5">
        <f>Table1[[#This Row],[Quantity/Year]]*Table1[[#This Row],[$ Value/Case]]</f>
        <v>74360</v>
      </c>
      <c r="G4" s="9">
        <f>Table1[[#This Row],[Annual Dollar 
Volume ($)]]/Table1[[#Totals],[Annual Dollar 
Volume ($)]]*100</f>
        <v>17.543859649122805</v>
      </c>
      <c r="H4" s="9">
        <f>Table1[[#This Row],[% Volume Total]]</f>
        <v>17.543859649122805</v>
      </c>
      <c r="I4" s="5" t="str">
        <f>IF(H4&lt;=80, "A", IF(H4&lt;=95, "B", "C"))</f>
        <v>A</v>
      </c>
      <c r="J4" s="4">
        <f>Table1[[#This Row],[Ordered/Week]]*52</f>
        <v>520</v>
      </c>
      <c r="K4" s="4">
        <f>Table1[[#This Row],[$ Value/Case]]*0.2</f>
        <v>28.6</v>
      </c>
      <c r="L4" s="4">
        <f>ROUND(SQRT((2 * Table1[[#This Row],[Demand (year)]]* 20) / Table1[[#This Row],[Holding 
Cost (h)$]]), 0)</f>
        <v>27</v>
      </c>
      <c r="M4" s="4">
        <f>ROUND(((Table1[[#This Row],[Demand (year)]] /365)*3), 0)</f>
        <v>4</v>
      </c>
      <c r="N4" s="14">
        <f>J4/365</f>
        <v>1.4246575342465753</v>
      </c>
      <c r="U4" s="10"/>
    </row>
    <row r="5" spans="1:21" ht="23.25" x14ac:dyDescent="0.35">
      <c r="A5" s="4" t="s">
        <v>41</v>
      </c>
      <c r="B5" s="4" t="s">
        <v>9</v>
      </c>
      <c r="C5" s="5">
        <v>43</v>
      </c>
      <c r="D5" s="5">
        <v>32</v>
      </c>
      <c r="E5" s="5">
        <f>Table1[[#This Row],[Ordered/Week]]*52</f>
        <v>1664</v>
      </c>
      <c r="F5" s="5">
        <f>Table1[[#This Row],[Quantity/Year]]*Table1[[#This Row],[$ Value/Case]]</f>
        <v>71552</v>
      </c>
      <c r="G5" s="9">
        <f>Table1[[#This Row],[Annual Dollar 
Volume ($)]]/Table1[[#Totals],[Annual Dollar 
Volume ($)]]*100</f>
        <v>16.881364249785303</v>
      </c>
      <c r="H5" s="9">
        <f>Table1[[#This Row],[% Volume Total]]+H4</f>
        <v>34.425223898908108</v>
      </c>
      <c r="I5" s="5" t="str">
        <f t="shared" ref="I5:I23" si="0">IF(H5&lt;=80, "A", IF(H5&lt;=95, "B", "C"))</f>
        <v>A</v>
      </c>
      <c r="J5" s="4">
        <f>Table1[[#This Row],[Ordered/Week]]*52</f>
        <v>1664</v>
      </c>
      <c r="K5" s="4">
        <f>Table1[[#This Row],[$ Value/Case]]*0.2</f>
        <v>8.6</v>
      </c>
      <c r="L5" s="4">
        <f>ROUND(SQRT((2 * Table1[[#This Row],[Demand (year)]]* 20) / Table1[[#This Row],[Holding 
Cost (h)$]]), 0)</f>
        <v>88</v>
      </c>
      <c r="M5" s="4">
        <f>ROUND(((Table1[[#This Row],[Demand (year)]] /365)*3), 0)</f>
        <v>14</v>
      </c>
      <c r="N5" s="14">
        <f t="shared" ref="N5:N23" si="1">J5/365</f>
        <v>4.558904109589041</v>
      </c>
      <c r="U5" s="10"/>
    </row>
    <row r="6" spans="1:21" ht="23.25" x14ac:dyDescent="0.35">
      <c r="A6" s="4" t="s">
        <v>42</v>
      </c>
      <c r="B6" s="4" t="s">
        <v>17</v>
      </c>
      <c r="C6" s="5">
        <v>75</v>
      </c>
      <c r="D6" s="5">
        <v>14</v>
      </c>
      <c r="E6" s="5">
        <f>Table1[[#This Row],[Ordered/Week]]*52</f>
        <v>728</v>
      </c>
      <c r="F6" s="5">
        <f>Table1[[#This Row],[Quantity/Year]]*Table1[[#This Row],[$ Value/Case]]</f>
        <v>54600</v>
      </c>
      <c r="G6" s="9">
        <f>Table1[[#This Row],[Annual Dollar 
Volume ($)]]/Table1[[#Totals],[Annual Dollar 
Volume ($)]]*100</f>
        <v>12.881854987118144</v>
      </c>
      <c r="H6" s="9">
        <f>Table1[[#This Row],[% Volume Total]]+H5</f>
        <v>47.307078886026254</v>
      </c>
      <c r="I6" s="5" t="str">
        <f t="shared" si="0"/>
        <v>A</v>
      </c>
      <c r="J6" s="4">
        <f>Table1[[#This Row],[Ordered/Week]]*52</f>
        <v>728</v>
      </c>
      <c r="K6" s="4">
        <f>Table1[[#This Row],[$ Value/Case]]*0.2</f>
        <v>15</v>
      </c>
      <c r="L6" s="4">
        <f>ROUND(SQRT((2 * Table1[[#This Row],[Demand (year)]]* 20) / Table1[[#This Row],[Holding 
Cost (h)$]]), 0)</f>
        <v>44</v>
      </c>
      <c r="M6" s="4">
        <f>ROUND(((Table1[[#This Row],[Demand (year)]] /365)*3), 0)</f>
        <v>6</v>
      </c>
      <c r="N6" s="14">
        <f t="shared" si="1"/>
        <v>1.9945205479452055</v>
      </c>
    </row>
    <row r="7" spans="1:21" ht="23.25" x14ac:dyDescent="0.35">
      <c r="A7" s="4" t="s">
        <v>43</v>
      </c>
      <c r="B7" s="4" t="s">
        <v>15</v>
      </c>
      <c r="C7" s="5">
        <v>166</v>
      </c>
      <c r="D7" s="5">
        <v>6</v>
      </c>
      <c r="E7" s="5">
        <f>Table1[[#This Row],[Ordered/Week]]*52</f>
        <v>312</v>
      </c>
      <c r="F7" s="5">
        <f>Table1[[#This Row],[Quantity/Year]]*Table1[[#This Row],[$ Value/Case]]</f>
        <v>51792</v>
      </c>
      <c r="G7" s="9">
        <f>Table1[[#This Row],[Annual Dollar 
Volume ($)]]/Table1[[#Totals],[Annual Dollar 
Volume ($)]]*100</f>
        <v>12.219359587780639</v>
      </c>
      <c r="H7" s="9">
        <f>Table1[[#This Row],[% Volume Total]]+H6</f>
        <v>59.526438473806891</v>
      </c>
      <c r="I7" s="5" t="str">
        <f t="shared" si="0"/>
        <v>A</v>
      </c>
      <c r="J7" s="4">
        <f>Table1[[#This Row],[Ordered/Week]]*52</f>
        <v>312</v>
      </c>
      <c r="K7" s="4">
        <f>Table1[[#This Row],[$ Value/Case]]*0.2</f>
        <v>33.200000000000003</v>
      </c>
      <c r="L7" s="4">
        <f>ROUND(SQRT((2 * Table1[[#This Row],[Demand (year)]]* 20) / Table1[[#This Row],[Holding 
Cost (h)$]]), 0)</f>
        <v>19</v>
      </c>
      <c r="M7" s="4">
        <f>ROUND(((Table1[[#This Row],[Demand (year)]] /365)*3), 0)</f>
        <v>3</v>
      </c>
      <c r="N7" s="14">
        <f t="shared" si="1"/>
        <v>0.85479452054794525</v>
      </c>
    </row>
    <row r="8" spans="1:21" ht="23.25" x14ac:dyDescent="0.35">
      <c r="A8" s="4" t="s">
        <v>44</v>
      </c>
      <c r="B8" s="4" t="s">
        <v>22</v>
      </c>
      <c r="C8" s="5">
        <v>35</v>
      </c>
      <c r="D8" s="5">
        <v>24</v>
      </c>
      <c r="E8" s="5">
        <f>Table1[[#This Row],[Ordered/Week]]*52</f>
        <v>1248</v>
      </c>
      <c r="F8" s="5">
        <f>Table1[[#This Row],[Quantity/Year]]*Table1[[#This Row],[$ Value/Case]]</f>
        <v>43680</v>
      </c>
      <c r="G8" s="9">
        <f>Table1[[#This Row],[Annual Dollar 
Volume ($)]]/Table1[[#Totals],[Annual Dollar 
Volume ($)]]*100</f>
        <v>10.305483989694517</v>
      </c>
      <c r="H8" s="9">
        <f>Table1[[#This Row],[% Volume Total]]+H7</f>
        <v>69.831922463501414</v>
      </c>
      <c r="I8" s="5" t="str">
        <f t="shared" si="0"/>
        <v>A</v>
      </c>
      <c r="J8" s="4">
        <f>Table1[[#This Row],[Ordered/Week]]*52</f>
        <v>1248</v>
      </c>
      <c r="K8" s="4">
        <f>Table1[[#This Row],[$ Value/Case]]*0.2</f>
        <v>7</v>
      </c>
      <c r="L8" s="4">
        <f>ROUND(SQRT((2 * Table1[[#This Row],[Demand (year)]]* 20) / Table1[[#This Row],[Holding 
Cost (h)$]]), 0)</f>
        <v>84</v>
      </c>
      <c r="M8" s="4">
        <f>ROUND(((Table1[[#This Row],[Demand (year)]] /365)*3), 0)</f>
        <v>10</v>
      </c>
      <c r="N8" s="14">
        <f t="shared" si="1"/>
        <v>3.419178082191781</v>
      </c>
    </row>
    <row r="9" spans="1:21" ht="23.25" x14ac:dyDescent="0.35">
      <c r="A9" s="4" t="s">
        <v>45</v>
      </c>
      <c r="B9" s="4" t="s">
        <v>4</v>
      </c>
      <c r="C9" s="5">
        <v>245</v>
      </c>
      <c r="D9" s="5">
        <v>3</v>
      </c>
      <c r="E9" s="5">
        <f>Table1[[#This Row],[Ordered/Week]]*52</f>
        <v>156</v>
      </c>
      <c r="F9" s="5">
        <f>Table1[[#This Row],[Quantity/Year]]*Table1[[#This Row],[$ Value/Case]]</f>
        <v>38220</v>
      </c>
      <c r="G9" s="9">
        <f>Table1[[#This Row],[Annual Dollar 
Volume ($)]]/Table1[[#Totals],[Annual Dollar 
Volume ($)]]*100</f>
        <v>9.0172984909827019</v>
      </c>
      <c r="H9" s="9">
        <f>Table1[[#This Row],[% Volume Total]]+H8</f>
        <v>78.84922095448411</v>
      </c>
      <c r="I9" s="5" t="str">
        <f t="shared" si="0"/>
        <v>A</v>
      </c>
      <c r="J9" s="4">
        <f>Table1[[#This Row],[Ordered/Week]]*52</f>
        <v>156</v>
      </c>
      <c r="K9" s="4">
        <f>Table1[[#This Row],[$ Value/Case]]*0.2</f>
        <v>49</v>
      </c>
      <c r="L9" s="4">
        <f>ROUND(SQRT((2 * Table1[[#This Row],[Demand (year)]]* 20) / Table1[[#This Row],[Holding 
Cost (h)$]]), 0)</f>
        <v>11</v>
      </c>
      <c r="M9" s="4">
        <f>ROUND(((Table1[[#This Row],[Demand (year)]] /365)*3), 0)</f>
        <v>1</v>
      </c>
      <c r="N9" s="14">
        <f t="shared" si="1"/>
        <v>0.42739726027397262</v>
      </c>
      <c r="R9" s="15"/>
    </row>
    <row r="10" spans="1:21" ht="23.25" x14ac:dyDescent="0.35">
      <c r="A10" s="4" t="s">
        <v>46</v>
      </c>
      <c r="B10" s="4" t="s">
        <v>3</v>
      </c>
      <c r="C10" s="5">
        <v>135</v>
      </c>
      <c r="D10" s="5">
        <v>3</v>
      </c>
      <c r="E10" s="5">
        <f>Table1[[#This Row],[Ordered/Week]]*52</f>
        <v>156</v>
      </c>
      <c r="F10" s="5">
        <f>Table1[[#This Row],[Quantity/Year]]*Table1[[#This Row],[$ Value/Case]]</f>
        <v>21060</v>
      </c>
      <c r="G10" s="9">
        <f>Table1[[#This Row],[Annual Dollar 
Volume ($)]]/Table1[[#Totals],[Annual Dollar 
Volume ($)]]*100</f>
        <v>4.9687154950312848</v>
      </c>
      <c r="H10" s="9">
        <f>Table1[[#This Row],[% Volume Total]]+H9</f>
        <v>83.8179364495154</v>
      </c>
      <c r="I10" s="5" t="str">
        <f t="shared" si="0"/>
        <v>B</v>
      </c>
      <c r="J10" s="4">
        <f>Table1[[#This Row],[Ordered/Week]]*52</f>
        <v>156</v>
      </c>
      <c r="K10" s="4">
        <f>Table1[[#This Row],[$ Value/Case]]*0.2</f>
        <v>27</v>
      </c>
      <c r="L10" s="4">
        <f>ROUND(SQRT((2 * Table1[[#This Row],[Demand (year)]]* 20) / Table1[[#This Row],[Holding 
Cost (h)$]]), 0)</f>
        <v>15</v>
      </c>
      <c r="M10" s="4">
        <f>ROUND(((Table1[[#This Row],[Demand (year)]] /365)*3), 0)</f>
        <v>1</v>
      </c>
      <c r="N10" s="14">
        <f t="shared" si="1"/>
        <v>0.42739726027397262</v>
      </c>
    </row>
    <row r="11" spans="1:21" ht="23.25" x14ac:dyDescent="0.35">
      <c r="A11" s="4" t="s">
        <v>47</v>
      </c>
      <c r="B11" s="4" t="s">
        <v>19</v>
      </c>
      <c r="C11" s="5">
        <v>56</v>
      </c>
      <c r="D11" s="5">
        <v>5</v>
      </c>
      <c r="E11" s="5">
        <f>Table1[[#This Row],[Ordered/Week]]*52</f>
        <v>260</v>
      </c>
      <c r="F11" s="5">
        <f>Table1[[#This Row],[Quantity/Year]]*Table1[[#This Row],[$ Value/Case]]</f>
        <v>14560</v>
      </c>
      <c r="G11" s="9">
        <f>Table1[[#This Row],[Annual Dollar 
Volume ($)]]/Table1[[#Totals],[Annual Dollar 
Volume ($)]]*100</f>
        <v>3.4351613298981718</v>
      </c>
      <c r="H11" s="9">
        <f>Table1[[#This Row],[% Volume Total]]+H10</f>
        <v>87.253097779413565</v>
      </c>
      <c r="I11" s="5" t="str">
        <f t="shared" si="0"/>
        <v>B</v>
      </c>
      <c r="J11" s="4">
        <f>Table1[[#This Row],[Ordered/Week]]*52</f>
        <v>260</v>
      </c>
      <c r="K11" s="4">
        <f>Table1[[#This Row],[$ Value/Case]]*0.2</f>
        <v>11.200000000000001</v>
      </c>
      <c r="L11" s="4">
        <f>ROUND(SQRT((2 * Table1[[#This Row],[Demand (year)]]* 20) / Table1[[#This Row],[Holding 
Cost (h)$]]), 0)</f>
        <v>30</v>
      </c>
      <c r="M11" s="4">
        <f>ROUND(((Table1[[#This Row],[Demand (year)]] /365)*3), 0)</f>
        <v>2</v>
      </c>
      <c r="N11" s="14">
        <f t="shared" si="1"/>
        <v>0.71232876712328763</v>
      </c>
    </row>
    <row r="12" spans="1:21" ht="23.25" x14ac:dyDescent="0.35">
      <c r="A12" s="4" t="s">
        <v>48</v>
      </c>
      <c r="B12" s="4" t="s">
        <v>5</v>
      </c>
      <c r="C12" s="5">
        <v>23</v>
      </c>
      <c r="D12" s="5">
        <v>12</v>
      </c>
      <c r="E12" s="5">
        <f>Table1[[#This Row],[Ordered/Week]]*52</f>
        <v>624</v>
      </c>
      <c r="F12" s="5">
        <f>Table1[[#This Row],[Quantity/Year]]*Table1[[#This Row],[$ Value/Case]]</f>
        <v>14352</v>
      </c>
      <c r="G12" s="9">
        <f>Table1[[#This Row],[Annual Dollar 
Volume ($)]]/Table1[[#Totals],[Annual Dollar 
Volume ($)]]*100</f>
        <v>3.3860875966139128</v>
      </c>
      <c r="H12" s="9">
        <f>Table1[[#This Row],[% Volume Total]]+H11</f>
        <v>90.639185376027484</v>
      </c>
      <c r="I12" s="5" t="str">
        <f t="shared" si="0"/>
        <v>B</v>
      </c>
      <c r="J12" s="4">
        <f>Table1[[#This Row],[Ordered/Week]]*52</f>
        <v>624</v>
      </c>
      <c r="K12" s="4">
        <f>Table1[[#This Row],[$ Value/Case]]*0.2</f>
        <v>4.6000000000000005</v>
      </c>
      <c r="L12" s="4">
        <f>ROUND(SQRT((2 * Table1[[#This Row],[Demand (year)]]* 20) / Table1[[#This Row],[Holding 
Cost (h)$]]), 0)</f>
        <v>74</v>
      </c>
      <c r="M12" s="4">
        <f>ROUND(((Table1[[#This Row],[Demand (year)]] /365)*3), 0)</f>
        <v>5</v>
      </c>
      <c r="N12" s="14">
        <f t="shared" si="1"/>
        <v>1.7095890410958905</v>
      </c>
    </row>
    <row r="13" spans="1:21" ht="23.25" x14ac:dyDescent="0.35">
      <c r="A13" s="4" t="s">
        <v>49</v>
      </c>
      <c r="B13" s="4" t="s">
        <v>8</v>
      </c>
      <c r="C13" s="5">
        <v>23</v>
      </c>
      <c r="D13" s="5">
        <v>11</v>
      </c>
      <c r="E13" s="5">
        <f>Table1[[#This Row],[Ordered/Week]]*52</f>
        <v>572</v>
      </c>
      <c r="F13" s="5">
        <f>Table1[[#This Row],[Quantity/Year]]*Table1[[#This Row],[$ Value/Case]]</f>
        <v>13156</v>
      </c>
      <c r="G13" s="9">
        <f>Table1[[#This Row],[Annual Dollar 
Volume ($)]]/Table1[[#Totals],[Annual Dollar 
Volume ($)]]*100</f>
        <v>3.1039136302294197</v>
      </c>
      <c r="H13" s="9">
        <f>Table1[[#This Row],[% Volume Total]]+H12</f>
        <v>93.743099006256898</v>
      </c>
      <c r="I13" s="5" t="str">
        <f t="shared" si="0"/>
        <v>B</v>
      </c>
      <c r="J13" s="4">
        <f>Table1[[#This Row],[Ordered/Week]]*52</f>
        <v>572</v>
      </c>
      <c r="K13" s="4">
        <f>Table1[[#This Row],[$ Value/Case]]*0.2</f>
        <v>4.6000000000000005</v>
      </c>
      <c r="L13" s="4">
        <f>ROUND(SQRT((2 * Table1[[#This Row],[Demand (year)]]* 20) / Table1[[#This Row],[Holding 
Cost (h)$]]), 0)</f>
        <v>71</v>
      </c>
      <c r="M13" s="4">
        <f>ROUND(((Table1[[#This Row],[Demand (year)]] /365)*3), 0)</f>
        <v>5</v>
      </c>
      <c r="N13" s="14">
        <f t="shared" si="1"/>
        <v>1.5671232876712329</v>
      </c>
    </row>
    <row r="14" spans="1:21" ht="23.25" x14ac:dyDescent="0.35">
      <c r="A14" s="4" t="s">
        <v>50</v>
      </c>
      <c r="B14" s="4" t="s">
        <v>13</v>
      </c>
      <c r="C14" s="5">
        <v>32</v>
      </c>
      <c r="D14" s="5">
        <v>5</v>
      </c>
      <c r="E14" s="5">
        <f>Table1[[#This Row],[Ordered/Week]]*52</f>
        <v>260</v>
      </c>
      <c r="F14" s="5">
        <f>Table1[[#This Row],[Quantity/Year]]*Table1[[#This Row],[$ Value/Case]]</f>
        <v>8320</v>
      </c>
      <c r="G14" s="9">
        <f>Table1[[#This Row],[Annual Dollar 
Volume ($)]]/Table1[[#Totals],[Annual Dollar 
Volume ($)]]*100</f>
        <v>1.9629493313703839</v>
      </c>
      <c r="H14" s="9">
        <f>Table1[[#This Row],[% Volume Total]]+H13</f>
        <v>95.70604833762728</v>
      </c>
      <c r="I14" s="5" t="str">
        <f t="shared" si="0"/>
        <v>C</v>
      </c>
      <c r="J14" s="4">
        <f>Table1[[#This Row],[Ordered/Week]]*52</f>
        <v>260</v>
      </c>
      <c r="K14" s="4">
        <f>Table1[[#This Row],[$ Value/Case]]*0.2</f>
        <v>6.4</v>
      </c>
      <c r="L14" s="4">
        <f>ROUND(SQRT((2 * Table1[[#This Row],[Demand (year)]]* 20) / Table1[[#This Row],[Holding 
Cost (h)$]]), 0)</f>
        <v>40</v>
      </c>
      <c r="M14" s="4">
        <f>ROUND(((Table1[[#This Row],[Demand (year)]] /365)*3), 0)</f>
        <v>2</v>
      </c>
      <c r="N14" s="14">
        <f t="shared" si="1"/>
        <v>0.71232876712328763</v>
      </c>
    </row>
    <row r="15" spans="1:21" ht="23.25" x14ac:dyDescent="0.35">
      <c r="A15" s="4" t="s">
        <v>51</v>
      </c>
      <c r="B15" s="4" t="s">
        <v>21</v>
      </c>
      <c r="C15" s="5">
        <v>22</v>
      </c>
      <c r="D15" s="5">
        <v>7</v>
      </c>
      <c r="E15" s="5">
        <f>Table1[[#This Row],[Ordered/Week]]*52</f>
        <v>364</v>
      </c>
      <c r="F15" s="5">
        <f>Table1[[#This Row],[Quantity/Year]]*Table1[[#This Row],[$ Value/Case]]</f>
        <v>8008</v>
      </c>
      <c r="G15" s="9">
        <f>Table1[[#This Row],[Annual Dollar 
Volume ($)]]/Table1[[#Totals],[Annual Dollar 
Volume ($)]]*100</f>
        <v>1.8893387314439947</v>
      </c>
      <c r="H15" s="9">
        <f>Table1[[#This Row],[% Volume Total]]+H14</f>
        <v>97.595387069071279</v>
      </c>
      <c r="I15" s="5" t="str">
        <f>IF(H15&lt;=80, "A", IF(H15&lt;=95, "B", "C"))</f>
        <v>C</v>
      </c>
      <c r="J15" s="4">
        <f>Table1[[#This Row],[Ordered/Week]]*52</f>
        <v>364</v>
      </c>
      <c r="K15" s="4">
        <f>Table1[[#This Row],[$ Value/Case]]*0.2</f>
        <v>4.4000000000000004</v>
      </c>
      <c r="L15" s="4">
        <f>ROUND(SQRT((2 * Table1[[#This Row],[Demand (year)]]* 20) / Table1[[#This Row],[Holding 
Cost (h)$]]), 0)</f>
        <v>58</v>
      </c>
      <c r="M15" s="4">
        <f>ROUND(((Table1[[#This Row],[Demand (year)]] /365)*3), 0)</f>
        <v>3</v>
      </c>
      <c r="N15" s="14">
        <f t="shared" si="1"/>
        <v>0.99726027397260275</v>
      </c>
    </row>
    <row r="16" spans="1:21" ht="23.25" x14ac:dyDescent="0.35">
      <c r="A16" s="4" t="s">
        <v>52</v>
      </c>
      <c r="B16" s="4" t="s">
        <v>16</v>
      </c>
      <c r="C16" s="5">
        <v>28</v>
      </c>
      <c r="D16" s="5">
        <v>2</v>
      </c>
      <c r="E16" s="5">
        <f>Table1[[#This Row],[Ordered/Week]]*52</f>
        <v>104</v>
      </c>
      <c r="F16" s="5">
        <f>Table1[[#This Row],[Quantity/Year]]*Table1[[#This Row],[$ Value/Case]]</f>
        <v>2912</v>
      </c>
      <c r="G16" s="9">
        <f>Table1[[#This Row],[Annual Dollar 
Volume ($)]]/Table1[[#Totals],[Annual Dollar 
Volume ($)]]*100</f>
        <v>0.6870322659796344</v>
      </c>
      <c r="H16" s="9">
        <f>Table1[[#This Row],[% Volume Total]]+H15</f>
        <v>98.282419335050918</v>
      </c>
      <c r="I16" s="5" t="str">
        <f t="shared" si="0"/>
        <v>C</v>
      </c>
      <c r="J16" s="4">
        <f>Table1[[#This Row],[Ordered/Week]]*52</f>
        <v>104</v>
      </c>
      <c r="K16" s="4">
        <f>Table1[[#This Row],[$ Value/Case]]*0.2</f>
        <v>5.6000000000000005</v>
      </c>
      <c r="L16" s="4">
        <f>ROUND(SQRT((2 * Table1[[#This Row],[Demand (year)]]* 20) / Table1[[#This Row],[Holding 
Cost (h)$]]), 0)</f>
        <v>27</v>
      </c>
      <c r="M16" s="4">
        <f>ROUND(((Table1[[#This Row],[Demand (year)]] /365)*3), 0)</f>
        <v>1</v>
      </c>
      <c r="N16" s="14">
        <f t="shared" si="1"/>
        <v>0.28493150684931506</v>
      </c>
    </row>
    <row r="17" spans="1:14" ht="23.25" x14ac:dyDescent="0.35">
      <c r="A17" s="4" t="s">
        <v>53</v>
      </c>
      <c r="B17" s="4" t="s">
        <v>12</v>
      </c>
      <c r="C17" s="5">
        <v>12</v>
      </c>
      <c r="D17" s="5">
        <v>3</v>
      </c>
      <c r="E17" s="5">
        <f>Table1[[#This Row],[Ordered/Week]]*52</f>
        <v>156</v>
      </c>
      <c r="F17" s="5">
        <f>Table1[[#This Row],[Quantity/Year]]*Table1[[#This Row],[$ Value/Case]]</f>
        <v>1872</v>
      </c>
      <c r="G17" s="9">
        <f>Table1[[#This Row],[Annual Dollar 
Volume ($)]]/Table1[[#Totals],[Annual Dollar 
Volume ($)]]*100</f>
        <v>0.44166359955833645</v>
      </c>
      <c r="H17" s="9">
        <f>Table1[[#This Row],[% Volume Total]]+H16</f>
        <v>98.724082934609257</v>
      </c>
      <c r="I17" s="5" t="str">
        <f t="shared" si="0"/>
        <v>C</v>
      </c>
      <c r="J17" s="4">
        <f>Table1[[#This Row],[Ordered/Week]]*52</f>
        <v>156</v>
      </c>
      <c r="K17" s="4">
        <f>Table1[[#This Row],[$ Value/Case]]*0.2</f>
        <v>2.4000000000000004</v>
      </c>
      <c r="L17" s="4">
        <f>ROUND(SQRT((2 * Table1[[#This Row],[Demand (year)]]* 20) / Table1[[#This Row],[Holding 
Cost (h)$]]), 0)</f>
        <v>51</v>
      </c>
      <c r="M17" s="4">
        <f>ROUND(((Table1[[#This Row],[Demand (year)]] /365)*3), 0)</f>
        <v>1</v>
      </c>
      <c r="N17" s="14">
        <f t="shared" si="1"/>
        <v>0.42739726027397262</v>
      </c>
    </row>
    <row r="18" spans="1:14" ht="23.25" x14ac:dyDescent="0.35">
      <c r="A18" s="4" t="s">
        <v>54</v>
      </c>
      <c r="B18" s="4" t="s">
        <v>11</v>
      </c>
      <c r="C18" s="5">
        <v>11</v>
      </c>
      <c r="D18" s="5">
        <v>3</v>
      </c>
      <c r="E18" s="5">
        <f>Table1[[#This Row],[Ordered/Week]]*52</f>
        <v>156</v>
      </c>
      <c r="F18" s="5">
        <f>Table1[[#This Row],[Quantity/Year]]*Table1[[#This Row],[$ Value/Case]]</f>
        <v>1716</v>
      </c>
      <c r="G18" s="9">
        <f>Table1[[#This Row],[Annual Dollar 
Volume ($)]]/Table1[[#Totals],[Annual Dollar 
Volume ($)]]*100</f>
        <v>0.40485829959514169</v>
      </c>
      <c r="H18" s="9">
        <f>Table1[[#This Row],[% Volume Total]]+H17</f>
        <v>99.128941234204405</v>
      </c>
      <c r="I18" s="5" t="str">
        <f t="shared" si="0"/>
        <v>C</v>
      </c>
      <c r="J18" s="4">
        <f>Table1[[#This Row],[Ordered/Week]]*52</f>
        <v>156</v>
      </c>
      <c r="K18" s="4">
        <f>Table1[[#This Row],[$ Value/Case]]*0.2</f>
        <v>2.2000000000000002</v>
      </c>
      <c r="L18" s="4">
        <f>ROUND(SQRT((2 * Table1[[#This Row],[Demand (year)]]* 20) / Table1[[#This Row],[Holding 
Cost (h)$]]), 0)</f>
        <v>53</v>
      </c>
      <c r="M18" s="4">
        <f>ROUND(((Table1[[#This Row],[Demand (year)]] /365)*3), 0)</f>
        <v>1</v>
      </c>
      <c r="N18" s="14">
        <f t="shared" si="1"/>
        <v>0.42739726027397262</v>
      </c>
    </row>
    <row r="19" spans="1:14" ht="23.25" x14ac:dyDescent="0.35">
      <c r="A19" s="4" t="s">
        <v>55</v>
      </c>
      <c r="B19" s="4" t="s">
        <v>7</v>
      </c>
      <c r="C19" s="5">
        <v>12</v>
      </c>
      <c r="D19" s="5">
        <v>2</v>
      </c>
      <c r="E19" s="5">
        <f>Table1[[#This Row],[Ordered/Week]]*52</f>
        <v>104</v>
      </c>
      <c r="F19" s="5">
        <f>Table1[[#This Row],[Quantity/Year]]*Table1[[#This Row],[$ Value/Case]]</f>
        <v>1248</v>
      </c>
      <c r="G19" s="9">
        <f>Table1[[#This Row],[Annual Dollar 
Volume ($)]]/Table1[[#Totals],[Annual Dollar 
Volume ($)]]*100</f>
        <v>0.29444239970555758</v>
      </c>
      <c r="H19" s="9">
        <f>Table1[[#This Row],[% Volume Total]]+H18</f>
        <v>99.423383633909964</v>
      </c>
      <c r="I19" s="5" t="str">
        <f t="shared" si="0"/>
        <v>C</v>
      </c>
      <c r="J19" s="4">
        <f>Table1[[#This Row],[Ordered/Week]]*52</f>
        <v>104</v>
      </c>
      <c r="K19" s="4">
        <f>Table1[[#This Row],[$ Value/Case]]*0.2</f>
        <v>2.4000000000000004</v>
      </c>
      <c r="L19" s="4">
        <f>ROUND(SQRT((2 * Table1[[#This Row],[Demand (year)]]* 20) / Table1[[#This Row],[Holding 
Cost (h)$]]), 0)</f>
        <v>42</v>
      </c>
      <c r="M19" s="4">
        <f>ROUND(((Table1[[#This Row],[Demand (year)]] /365)*3), 0)</f>
        <v>1</v>
      </c>
      <c r="N19" s="14">
        <f t="shared" si="1"/>
        <v>0.28493150684931506</v>
      </c>
    </row>
    <row r="20" spans="1:14" ht="23.25" x14ac:dyDescent="0.35">
      <c r="A20" s="4" t="s">
        <v>56</v>
      </c>
      <c r="B20" s="4" t="s">
        <v>18</v>
      </c>
      <c r="C20" s="5">
        <v>12</v>
      </c>
      <c r="D20" s="5">
        <v>2</v>
      </c>
      <c r="E20" s="5">
        <f>Table1[[#This Row],[Ordered/Week]]*52</f>
        <v>104</v>
      </c>
      <c r="F20" s="5">
        <f>Table1[[#This Row],[Quantity/Year]]*Table1[[#This Row],[$ Value/Case]]</f>
        <v>1248</v>
      </c>
      <c r="G20" s="9">
        <f>Table1[[#This Row],[Annual Dollar 
Volume ($)]]/Table1[[#Totals],[Annual Dollar 
Volume ($)]]*100</f>
        <v>0.29444239970555758</v>
      </c>
      <c r="H20" s="9">
        <f>Table1[[#This Row],[% Volume Total]]+H19</f>
        <v>99.717826033615523</v>
      </c>
      <c r="I20" s="5" t="str">
        <f t="shared" si="0"/>
        <v>C</v>
      </c>
      <c r="J20" s="4">
        <f>Table1[[#This Row],[Ordered/Week]]*52</f>
        <v>104</v>
      </c>
      <c r="K20" s="4">
        <f>Table1[[#This Row],[$ Value/Case]]*0.2</f>
        <v>2.4000000000000004</v>
      </c>
      <c r="L20" s="4">
        <f>ROUND(SQRT((2 * Table1[[#This Row],[Demand (year)]]* 20) / Table1[[#This Row],[Holding 
Cost (h)$]]), 0)</f>
        <v>42</v>
      </c>
      <c r="M20" s="4">
        <f>ROUND(((Table1[[#This Row],[Demand (year)]] /365)*3), 0)</f>
        <v>1</v>
      </c>
      <c r="N20" s="14">
        <f t="shared" si="1"/>
        <v>0.28493150684931506</v>
      </c>
    </row>
    <row r="21" spans="1:14" ht="23.25" x14ac:dyDescent="0.35">
      <c r="A21" s="4" t="s">
        <v>57</v>
      </c>
      <c r="B21" s="4" t="s">
        <v>10</v>
      </c>
      <c r="C21" s="5">
        <v>3</v>
      </c>
      <c r="D21" s="5">
        <v>3</v>
      </c>
      <c r="E21" s="5">
        <f>Table1[[#This Row],[Ordered/Week]]*52</f>
        <v>156</v>
      </c>
      <c r="F21" s="5">
        <f>Table1[[#This Row],[Quantity/Year]]*Table1[[#This Row],[$ Value/Case]]</f>
        <v>468</v>
      </c>
      <c r="G21" s="9">
        <f>Table1[[#This Row],[Annual Dollar 
Volume ($)]]/Table1[[#Totals],[Annual Dollar 
Volume ($)]]*100</f>
        <v>0.11041589988958411</v>
      </c>
      <c r="H21" s="9">
        <f>Table1[[#This Row],[% Volume Total]]+H20</f>
        <v>99.828241933505112</v>
      </c>
      <c r="I21" s="5" t="str">
        <f t="shared" si="0"/>
        <v>C</v>
      </c>
      <c r="J21" s="4">
        <f>Table1[[#This Row],[Ordered/Week]]*52</f>
        <v>156</v>
      </c>
      <c r="K21" s="4">
        <f>Table1[[#This Row],[$ Value/Case]]*0.2</f>
        <v>0.60000000000000009</v>
      </c>
      <c r="L21" s="4">
        <f>ROUND(SQRT((2 * Table1[[#This Row],[Demand (year)]]* 20) / Table1[[#This Row],[Holding 
Cost (h)$]]), 0)</f>
        <v>102</v>
      </c>
      <c r="M21" s="4">
        <f>ROUND(((Table1[[#This Row],[Demand (year)]] /365)*3), 0)</f>
        <v>1</v>
      </c>
      <c r="N21" s="14">
        <f t="shared" si="1"/>
        <v>0.42739726027397262</v>
      </c>
    </row>
    <row r="22" spans="1:14" ht="23.25" x14ac:dyDescent="0.35">
      <c r="A22" s="4" t="s">
        <v>58</v>
      </c>
      <c r="B22" s="4" t="s">
        <v>20</v>
      </c>
      <c r="C22" s="5">
        <v>4</v>
      </c>
      <c r="D22" s="5">
        <v>2</v>
      </c>
      <c r="E22" s="5">
        <f>Table1[[#This Row],[Ordered/Week]]*52</f>
        <v>104</v>
      </c>
      <c r="F22" s="5">
        <f>Table1[[#This Row],[Quantity/Year]]*Table1[[#This Row],[$ Value/Case]]</f>
        <v>416</v>
      </c>
      <c r="G22" s="9">
        <f>Table1[[#This Row],[Annual Dollar 
Volume ($)]]/Table1[[#Totals],[Annual Dollar 
Volume ($)]]*100</f>
        <v>9.8147466568519207E-2</v>
      </c>
      <c r="H22" s="9">
        <f>Table1[[#This Row],[% Volume Total]]+H21</f>
        <v>99.926389400073631</v>
      </c>
      <c r="I22" s="5" t="str">
        <f t="shared" si="0"/>
        <v>C</v>
      </c>
      <c r="J22" s="4">
        <f>Table1[[#This Row],[Ordered/Week]]*52</f>
        <v>104</v>
      </c>
      <c r="K22" s="4">
        <f>Table1[[#This Row],[$ Value/Case]]*0.2</f>
        <v>0.8</v>
      </c>
      <c r="L22" s="4">
        <f>ROUND(SQRT((2 * Table1[[#This Row],[Demand (year)]]* 20) / Table1[[#This Row],[Holding 
Cost (h)$]]), 0)</f>
        <v>72</v>
      </c>
      <c r="M22" s="4">
        <f>ROUND(((Table1[[#This Row],[Demand (year)]] /365)*3), 0)</f>
        <v>1</v>
      </c>
      <c r="N22" s="14">
        <f t="shared" si="1"/>
        <v>0.28493150684931506</v>
      </c>
    </row>
    <row r="23" spans="1:14" ht="23.25" x14ac:dyDescent="0.35">
      <c r="A23" s="4" t="s">
        <v>59</v>
      </c>
      <c r="B23" s="4" t="s">
        <v>6</v>
      </c>
      <c r="C23" s="5">
        <v>3</v>
      </c>
      <c r="D23" s="5">
        <v>2</v>
      </c>
      <c r="E23" s="5">
        <f>Table1[[#This Row],[Ordered/Week]]*52</f>
        <v>104</v>
      </c>
      <c r="F23" s="5">
        <f>Table1[[#This Row],[Quantity/Year]]*Table1[[#This Row],[$ Value/Case]]</f>
        <v>312</v>
      </c>
      <c r="G23" s="9">
        <f>Table1[[#This Row],[Annual Dollar 
Volume ($)]]/Table1[[#Totals],[Annual Dollar 
Volume ($)]]*100</f>
        <v>7.3610599926389395E-2</v>
      </c>
      <c r="H23" s="9">
        <f>Table1[[#This Row],[% Volume Total]]+H22</f>
        <v>100.00000000000001</v>
      </c>
      <c r="I23" s="5" t="str">
        <f t="shared" si="0"/>
        <v>C</v>
      </c>
      <c r="J23" s="4">
        <f>Table1[[#This Row],[Ordered/Week]]*52</f>
        <v>104</v>
      </c>
      <c r="K23" s="4">
        <f>Table1[[#This Row],[$ Value/Case]]*0.2</f>
        <v>0.60000000000000009</v>
      </c>
      <c r="L23" s="4">
        <f>ROUND(SQRT((2 * Table1[[#This Row],[Demand (year)]]* 20) / Table1[[#This Row],[Holding 
Cost (h)$]]), 0)</f>
        <v>83</v>
      </c>
      <c r="M23" s="4">
        <f>ROUND(((Table1[[#This Row],[Demand (year)]] /365)*3), 0)</f>
        <v>1</v>
      </c>
      <c r="N23" s="14">
        <f t="shared" si="1"/>
        <v>0.28493150684931506</v>
      </c>
    </row>
    <row r="24" spans="1:14" ht="23.25" x14ac:dyDescent="0.35">
      <c r="A24" s="8"/>
      <c r="B24" s="6" t="s">
        <v>29</v>
      </c>
      <c r="C24" s="7"/>
      <c r="D24" s="7"/>
      <c r="E24" s="6"/>
      <c r="F24" s="6">
        <f>SUM(Table1[Annual Dollar 
Volume ($)])</f>
        <v>423852</v>
      </c>
      <c r="G24" s="8"/>
      <c r="H24" s="8"/>
      <c r="I24" s="8"/>
      <c r="J24" s="8"/>
      <c r="K24" s="8"/>
      <c r="L24" s="8"/>
      <c r="M24" s="8"/>
      <c r="N24" s="8"/>
    </row>
    <row r="25" spans="1:14" ht="18.75" x14ac:dyDescent="0.3">
      <c r="A25" s="1"/>
      <c r="B25" s="1"/>
      <c r="C25" s="1"/>
      <c r="D25" s="1"/>
      <c r="E25" s="1"/>
    </row>
    <row r="26" spans="1:14" ht="18.75" x14ac:dyDescent="0.3">
      <c r="A26" s="1"/>
      <c r="B26" s="1"/>
      <c r="C26" s="1"/>
      <c r="D26" s="1"/>
      <c r="E26" s="1"/>
    </row>
    <row r="27" spans="1:14" ht="69.75" x14ac:dyDescent="0.25">
      <c r="A27" s="40" t="s">
        <v>0</v>
      </c>
      <c r="B27" s="41" t="s">
        <v>25</v>
      </c>
      <c r="C27" s="42" t="s">
        <v>27</v>
      </c>
      <c r="D27" s="52"/>
      <c r="E27" s="52"/>
      <c r="F27" s="52"/>
      <c r="G27" s="52"/>
      <c r="H27" s="52"/>
      <c r="I27" s="28"/>
    </row>
    <row r="28" spans="1:14" ht="23.25" x14ac:dyDescent="0.35">
      <c r="A28" s="43" t="s">
        <v>14</v>
      </c>
      <c r="B28" s="44">
        <v>74360</v>
      </c>
      <c r="C28" s="45">
        <v>17.543859649122805</v>
      </c>
      <c r="D28" s="51"/>
      <c r="E28" s="51"/>
      <c r="F28" s="51"/>
      <c r="G28" s="51"/>
      <c r="H28" s="51"/>
      <c r="I28" s="29"/>
    </row>
    <row r="29" spans="1:14" ht="23.25" x14ac:dyDescent="0.35">
      <c r="A29" s="12" t="s">
        <v>9</v>
      </c>
      <c r="B29" s="46">
        <v>71552</v>
      </c>
      <c r="C29" s="47">
        <v>34.425223898908108</v>
      </c>
      <c r="D29" s="51"/>
      <c r="E29" s="51"/>
      <c r="F29" s="51"/>
      <c r="G29" s="51"/>
      <c r="H29" s="51"/>
      <c r="I29" s="29"/>
    </row>
    <row r="30" spans="1:14" ht="23.25" x14ac:dyDescent="0.35">
      <c r="A30" s="11" t="s">
        <v>17</v>
      </c>
      <c r="B30" s="48">
        <v>54600</v>
      </c>
      <c r="C30" s="49">
        <v>47.307078886026254</v>
      </c>
      <c r="D30" s="51"/>
      <c r="E30" s="51"/>
      <c r="F30" s="51"/>
      <c r="G30" s="51"/>
      <c r="H30" s="51"/>
      <c r="I30" s="29"/>
    </row>
    <row r="31" spans="1:14" ht="23.25" x14ac:dyDescent="0.35">
      <c r="A31" s="12" t="s">
        <v>15</v>
      </c>
      <c r="B31" s="46">
        <v>51792</v>
      </c>
      <c r="C31" s="47">
        <v>59.526438473806891</v>
      </c>
      <c r="D31" s="51"/>
      <c r="E31" s="51"/>
      <c r="F31" s="51"/>
      <c r="G31" s="51"/>
      <c r="H31" s="51"/>
      <c r="I31" s="29"/>
    </row>
    <row r="32" spans="1:14" ht="23.25" x14ac:dyDescent="0.35">
      <c r="A32" s="11" t="s">
        <v>22</v>
      </c>
      <c r="B32" s="48">
        <v>43680</v>
      </c>
      <c r="C32" s="49">
        <v>69.831922463501414</v>
      </c>
      <c r="D32" s="51"/>
      <c r="E32" s="51"/>
      <c r="F32" s="51"/>
      <c r="G32" s="51"/>
      <c r="H32" s="51"/>
      <c r="I32" s="29"/>
    </row>
    <row r="33" spans="1:9" ht="23.25" x14ac:dyDescent="0.35">
      <c r="A33" s="12" t="s">
        <v>4</v>
      </c>
      <c r="B33" s="46">
        <v>38220</v>
      </c>
      <c r="C33" s="47">
        <v>78.84922095448411</v>
      </c>
      <c r="D33" s="51"/>
      <c r="E33" s="51"/>
      <c r="F33" s="51"/>
      <c r="G33" s="51"/>
      <c r="H33" s="51"/>
      <c r="I33" s="29"/>
    </row>
    <row r="34" spans="1:9" ht="23.25" x14ac:dyDescent="0.35">
      <c r="A34" s="11" t="s">
        <v>3</v>
      </c>
      <c r="B34" s="48">
        <v>21060</v>
      </c>
      <c r="C34" s="49">
        <v>83.8179364495154</v>
      </c>
      <c r="D34" s="51"/>
      <c r="E34" s="51"/>
      <c r="F34" s="51"/>
      <c r="G34" s="51"/>
      <c r="H34" s="51"/>
      <c r="I34" s="29"/>
    </row>
    <row r="35" spans="1:9" ht="23.25" x14ac:dyDescent="0.35">
      <c r="A35" s="12" t="s">
        <v>19</v>
      </c>
      <c r="B35" s="46">
        <v>14560</v>
      </c>
      <c r="C35" s="47">
        <v>87.253097779413565</v>
      </c>
      <c r="D35" s="51"/>
      <c r="E35" s="51"/>
      <c r="F35" s="51"/>
      <c r="G35" s="51"/>
      <c r="H35" s="51"/>
      <c r="I35" s="29"/>
    </row>
    <row r="36" spans="1:9" ht="23.25" x14ac:dyDescent="0.35">
      <c r="A36" s="11" t="s">
        <v>5</v>
      </c>
      <c r="B36" s="48">
        <v>14352</v>
      </c>
      <c r="C36" s="49">
        <v>90.639185376027484</v>
      </c>
      <c r="D36" s="51"/>
      <c r="E36" s="51"/>
      <c r="F36" s="51"/>
      <c r="G36" s="51"/>
      <c r="H36" s="51"/>
      <c r="I36" s="29"/>
    </row>
    <row r="37" spans="1:9" ht="23.25" x14ac:dyDescent="0.35">
      <c r="A37" s="12" t="s">
        <v>8</v>
      </c>
      <c r="B37" s="46">
        <v>13156</v>
      </c>
      <c r="C37" s="47">
        <v>93.743099006256898</v>
      </c>
      <c r="D37" s="51"/>
      <c r="E37" s="51"/>
      <c r="F37" s="51"/>
      <c r="G37" s="51"/>
      <c r="H37" s="51"/>
      <c r="I37" s="29"/>
    </row>
    <row r="38" spans="1:9" ht="23.25" x14ac:dyDescent="0.35">
      <c r="A38" s="11" t="s">
        <v>13</v>
      </c>
      <c r="B38" s="48">
        <v>8320</v>
      </c>
      <c r="C38" s="49">
        <v>95.70604833762728</v>
      </c>
      <c r="D38" s="51"/>
      <c r="E38" s="51"/>
      <c r="F38" s="51"/>
      <c r="G38" s="51"/>
      <c r="H38" s="51"/>
      <c r="I38" s="29"/>
    </row>
    <row r="39" spans="1:9" ht="23.25" x14ac:dyDescent="0.35">
      <c r="A39" s="12" t="s">
        <v>21</v>
      </c>
      <c r="B39" s="46">
        <v>8008</v>
      </c>
      <c r="C39" s="47">
        <v>97.595387069071279</v>
      </c>
      <c r="D39" s="51"/>
      <c r="E39" s="51"/>
      <c r="F39" s="51"/>
      <c r="G39" s="51"/>
      <c r="H39" s="51"/>
      <c r="I39" s="29"/>
    </row>
    <row r="40" spans="1:9" ht="23.25" x14ac:dyDescent="0.35">
      <c r="A40" s="11" t="s">
        <v>16</v>
      </c>
      <c r="B40" s="48">
        <v>2912</v>
      </c>
      <c r="C40" s="49">
        <v>98.282419335050918</v>
      </c>
      <c r="D40" s="51"/>
      <c r="E40" s="51"/>
      <c r="F40" s="51"/>
      <c r="G40" s="51"/>
      <c r="H40" s="51"/>
      <c r="I40" s="29"/>
    </row>
    <row r="41" spans="1:9" ht="23.25" x14ac:dyDescent="0.35">
      <c r="A41" s="12" t="s">
        <v>12</v>
      </c>
      <c r="B41" s="46">
        <v>1872</v>
      </c>
      <c r="C41" s="47">
        <v>98.724082934609257</v>
      </c>
      <c r="D41" s="51"/>
      <c r="E41" s="51"/>
      <c r="F41" s="51"/>
      <c r="G41" s="51"/>
      <c r="H41" s="51"/>
      <c r="I41" s="29"/>
    </row>
    <row r="42" spans="1:9" ht="23.25" x14ac:dyDescent="0.35">
      <c r="A42" s="11" t="s">
        <v>11</v>
      </c>
      <c r="B42" s="48">
        <v>1716</v>
      </c>
      <c r="C42" s="49">
        <v>99.128941234204405</v>
      </c>
      <c r="D42" s="51"/>
      <c r="E42" s="51"/>
      <c r="F42" s="51"/>
      <c r="G42" s="51"/>
      <c r="H42" s="51"/>
      <c r="I42" s="29"/>
    </row>
    <row r="43" spans="1:9" ht="23.25" x14ac:dyDescent="0.35">
      <c r="A43" s="12" t="s">
        <v>7</v>
      </c>
      <c r="B43" s="46">
        <v>1248</v>
      </c>
      <c r="C43" s="47">
        <v>99.423383633909964</v>
      </c>
      <c r="D43" s="51"/>
      <c r="E43" s="51"/>
      <c r="F43" s="51"/>
      <c r="G43" s="51"/>
      <c r="H43" s="51"/>
      <c r="I43" s="29"/>
    </row>
    <row r="44" spans="1:9" ht="23.25" x14ac:dyDescent="0.35">
      <c r="A44" s="11" t="s">
        <v>18</v>
      </c>
      <c r="B44" s="48">
        <v>1248</v>
      </c>
      <c r="C44" s="49">
        <v>99.717826033615523</v>
      </c>
      <c r="D44" s="51"/>
      <c r="E44" s="51"/>
      <c r="F44" s="51"/>
      <c r="G44" s="51"/>
      <c r="H44" s="51"/>
      <c r="I44" s="29"/>
    </row>
    <row r="45" spans="1:9" ht="23.25" x14ac:dyDescent="0.35">
      <c r="A45" s="12" t="s">
        <v>10</v>
      </c>
      <c r="B45" s="46">
        <v>468</v>
      </c>
      <c r="C45" s="47">
        <v>99.828241933505112</v>
      </c>
      <c r="D45" s="51"/>
      <c r="E45" s="51"/>
      <c r="F45" s="51"/>
      <c r="G45" s="51"/>
      <c r="H45" s="51"/>
      <c r="I45" s="29"/>
    </row>
    <row r="46" spans="1:9" ht="23.25" x14ac:dyDescent="0.35">
      <c r="A46" s="11" t="s">
        <v>20</v>
      </c>
      <c r="B46" s="48">
        <v>416</v>
      </c>
      <c r="C46" s="49">
        <v>99.926389400073631</v>
      </c>
      <c r="D46" s="51"/>
      <c r="E46" s="51"/>
      <c r="F46" s="51"/>
      <c r="G46" s="51"/>
      <c r="H46" s="51"/>
      <c r="I46" s="29"/>
    </row>
    <row r="47" spans="1:9" ht="23.25" x14ac:dyDescent="0.35">
      <c r="A47" s="12" t="s">
        <v>6</v>
      </c>
      <c r="B47" s="46">
        <v>312</v>
      </c>
      <c r="C47" s="46">
        <v>100.00000000000001</v>
      </c>
      <c r="D47" s="51"/>
      <c r="E47" s="51"/>
      <c r="F47" s="51"/>
      <c r="G47" s="51"/>
      <c r="H47" s="51"/>
      <c r="I47" s="29"/>
    </row>
    <row r="48" spans="1:9" ht="23.25" x14ac:dyDescent="0.35">
      <c r="A48" s="13" t="s">
        <v>29</v>
      </c>
      <c r="B48" s="50">
        <v>423852</v>
      </c>
      <c r="C48" s="50"/>
      <c r="D48" s="51"/>
      <c r="E48" s="51"/>
      <c r="F48" s="51"/>
      <c r="G48" s="51"/>
      <c r="H48" s="51"/>
      <c r="I48" s="53"/>
    </row>
    <row r="50" spans="1:12" ht="19.5" customHeight="1" x14ac:dyDescent="0.25"/>
    <row r="51" spans="1:12" ht="23.25" x14ac:dyDescent="0.35">
      <c r="A51" s="57" t="s">
        <v>60</v>
      </c>
      <c r="B51" s="57" t="s">
        <v>61</v>
      </c>
      <c r="C51" s="57" t="s">
        <v>62</v>
      </c>
      <c r="E51" s="54"/>
      <c r="F51" s="55"/>
      <c r="H51" s="56"/>
      <c r="I51" s="56"/>
      <c r="J51" s="56"/>
      <c r="K51" s="56"/>
      <c r="L51" s="56"/>
    </row>
    <row r="52" spans="1:12" ht="23.25" x14ac:dyDescent="0.35">
      <c r="A52" s="58">
        <v>0</v>
      </c>
      <c r="B52" s="58">
        <f>Dashboard!$O$9</f>
        <v>88</v>
      </c>
      <c r="C52" s="58">
        <f>Dashboard!$O$10</f>
        <v>14</v>
      </c>
      <c r="E52" s="54"/>
      <c r="F52" s="55"/>
      <c r="H52" s="12"/>
      <c r="I52" s="12"/>
      <c r="J52" s="12"/>
      <c r="K52" s="12"/>
      <c r="L52" s="39"/>
    </row>
    <row r="53" spans="1:12" ht="23.25" x14ac:dyDescent="0.35">
      <c r="A53" s="58">
        <v>1</v>
      </c>
      <c r="B53" s="58">
        <f>IF(B52&lt;=0, Dashboard!$O$9, B52-Dashboard!$O$11)</f>
        <v>83.441095890410963</v>
      </c>
      <c r="C53" s="58">
        <f>Dashboard!$O$10</f>
        <v>14</v>
      </c>
      <c r="E53" s="30"/>
      <c r="F53" s="38"/>
      <c r="H53" s="12"/>
      <c r="I53" s="12"/>
      <c r="J53" s="12"/>
      <c r="K53" s="12"/>
      <c r="L53" s="39"/>
    </row>
    <row r="54" spans="1:12" ht="23.25" x14ac:dyDescent="0.35">
      <c r="A54" s="58">
        <v>2</v>
      </c>
      <c r="B54" s="58">
        <f>IF(B53&lt;=0, Dashboard!$O$9, B53-Dashboard!$O$11)</f>
        <v>78.882191780821927</v>
      </c>
      <c r="C54" s="58">
        <f>Dashboard!$O$10</f>
        <v>14</v>
      </c>
      <c r="E54" s="30"/>
      <c r="F54" s="38"/>
      <c r="H54" s="12"/>
      <c r="I54" s="12"/>
      <c r="J54" s="12"/>
      <c r="K54" s="12"/>
      <c r="L54" s="39"/>
    </row>
    <row r="55" spans="1:12" ht="23.25" x14ac:dyDescent="0.35">
      <c r="A55" s="58">
        <v>3</v>
      </c>
      <c r="B55" s="58">
        <f>IF(B54&lt;=0, Dashboard!$O$9, B54-Dashboard!$O$11)</f>
        <v>74.32328767123289</v>
      </c>
      <c r="C55" s="58">
        <f>Dashboard!$O$10</f>
        <v>14</v>
      </c>
      <c r="E55" s="30"/>
      <c r="F55" s="38"/>
      <c r="H55" s="12"/>
      <c r="I55" s="12"/>
      <c r="J55" s="12"/>
      <c r="K55" s="12"/>
      <c r="L55" s="39"/>
    </row>
    <row r="56" spans="1:12" ht="23.25" x14ac:dyDescent="0.35">
      <c r="A56" s="58">
        <v>4</v>
      </c>
      <c r="B56" s="58">
        <f>IF(B55&lt;=0, Dashboard!$O$9, B55-Dashboard!$O$11)</f>
        <v>69.764383561643854</v>
      </c>
      <c r="C56" s="58">
        <f>Dashboard!$O$10</f>
        <v>14</v>
      </c>
      <c r="H56" s="12"/>
      <c r="I56" s="12"/>
      <c r="J56" s="12"/>
      <c r="K56" s="12"/>
      <c r="L56" s="39"/>
    </row>
    <row r="57" spans="1:12" ht="23.25" x14ac:dyDescent="0.35">
      <c r="A57" s="58">
        <v>5</v>
      </c>
      <c r="B57" s="58">
        <f>IF(B56&lt;=0, Dashboard!$O$9, B56-Dashboard!$O$11)</f>
        <v>65.205479452054817</v>
      </c>
      <c r="C57" s="58">
        <f>Dashboard!$O$10</f>
        <v>14</v>
      </c>
      <c r="H57" s="12"/>
      <c r="I57" s="12"/>
      <c r="J57" s="12"/>
      <c r="K57" s="12"/>
      <c r="L57" s="39"/>
    </row>
    <row r="58" spans="1:12" ht="23.25" x14ac:dyDescent="0.35">
      <c r="A58" s="58">
        <v>6</v>
      </c>
      <c r="B58" s="58">
        <f>IF(B57&lt;=0, Dashboard!$O$9, B57-Dashboard!$O$11)</f>
        <v>60.646575342465773</v>
      </c>
      <c r="C58" s="58">
        <f>Dashboard!$O$10</f>
        <v>14</v>
      </c>
      <c r="H58" s="12"/>
      <c r="I58" s="12"/>
      <c r="J58" s="12"/>
      <c r="K58" s="12"/>
      <c r="L58" s="39"/>
    </row>
    <row r="59" spans="1:12" ht="23.25" x14ac:dyDescent="0.35">
      <c r="A59" s="58">
        <v>7</v>
      </c>
      <c r="B59" s="58">
        <f>IF(B58&lt;=0, Dashboard!$O$9, B58-Dashboard!$O$11)</f>
        <v>56.08767123287673</v>
      </c>
      <c r="C59" s="58">
        <f>Dashboard!$O$10</f>
        <v>14</v>
      </c>
      <c r="H59" s="12"/>
      <c r="I59" s="12"/>
      <c r="J59" s="12"/>
      <c r="K59" s="12"/>
      <c r="L59" s="39"/>
    </row>
    <row r="60" spans="1:12" ht="23.25" x14ac:dyDescent="0.35">
      <c r="A60" s="58">
        <v>8</v>
      </c>
      <c r="B60" s="58">
        <f>IF(B59&lt;=0, Dashboard!$O$9, B59-Dashboard!$O$11)</f>
        <v>51.528767123287686</v>
      </c>
      <c r="C60" s="58">
        <f>Dashboard!$O$10</f>
        <v>14</v>
      </c>
      <c r="H60" s="12"/>
      <c r="I60" s="12"/>
      <c r="J60" s="12"/>
      <c r="K60" s="12"/>
      <c r="L60" s="39"/>
    </row>
    <row r="61" spans="1:12" ht="23.25" x14ac:dyDescent="0.35">
      <c r="A61" s="58">
        <v>9</v>
      </c>
      <c r="B61" s="58">
        <f>IF(B60&lt;=0, Dashboard!$O$9, B60-Dashboard!$O$11)</f>
        <v>46.969863013698642</v>
      </c>
      <c r="C61" s="58">
        <f>Dashboard!$O$10</f>
        <v>14</v>
      </c>
      <c r="H61" s="12"/>
      <c r="I61" s="12"/>
      <c r="J61" s="12"/>
      <c r="K61" s="12"/>
      <c r="L61" s="39"/>
    </row>
    <row r="62" spans="1:12" ht="23.25" x14ac:dyDescent="0.35">
      <c r="A62" s="58">
        <v>10</v>
      </c>
      <c r="B62" s="58">
        <f>IF(B61&lt;=0, Dashboard!$O$9, B61-Dashboard!$O$11)</f>
        <v>42.410958904109599</v>
      </c>
      <c r="C62" s="58">
        <f>Dashboard!$O$10</f>
        <v>14</v>
      </c>
      <c r="H62" s="12"/>
      <c r="I62" s="12"/>
      <c r="J62" s="12"/>
      <c r="K62" s="12"/>
      <c r="L62" s="39"/>
    </row>
    <row r="63" spans="1:12" ht="23.25" x14ac:dyDescent="0.35">
      <c r="A63" s="58">
        <v>11</v>
      </c>
      <c r="B63" s="58">
        <f>IF(B62&lt;=0, Dashboard!$O$9, B62-Dashboard!$O$11)</f>
        <v>37.852054794520555</v>
      </c>
      <c r="C63" s="58">
        <f>Dashboard!$O$10</f>
        <v>14</v>
      </c>
      <c r="H63" s="12"/>
      <c r="I63" s="12"/>
      <c r="J63" s="12"/>
      <c r="K63" s="12"/>
      <c r="L63" s="39"/>
    </row>
    <row r="64" spans="1:12" ht="23.25" x14ac:dyDescent="0.35">
      <c r="A64" s="58">
        <v>12</v>
      </c>
      <c r="B64" s="58">
        <f>IF(B63&lt;=0, Dashboard!$O$9, B63-Dashboard!$O$11)</f>
        <v>33.293150684931511</v>
      </c>
      <c r="C64" s="58">
        <f>Dashboard!$O$10</f>
        <v>14</v>
      </c>
      <c r="H64" s="12"/>
      <c r="I64" s="12"/>
      <c r="J64" s="12"/>
      <c r="K64" s="12"/>
      <c r="L64" s="39"/>
    </row>
    <row r="65" spans="1:12" ht="23.25" x14ac:dyDescent="0.35">
      <c r="A65" s="58">
        <v>13</v>
      </c>
      <c r="B65" s="58">
        <f>IF(B64&lt;=0, Dashboard!$O$9, B64-Dashboard!$O$11)</f>
        <v>28.734246575342471</v>
      </c>
      <c r="C65" s="58">
        <f>Dashboard!$O$10</f>
        <v>14</v>
      </c>
      <c r="H65" s="12"/>
      <c r="I65" s="12"/>
      <c r="J65" s="12"/>
      <c r="K65" s="12"/>
      <c r="L65" s="39"/>
    </row>
    <row r="66" spans="1:12" ht="23.25" x14ac:dyDescent="0.35">
      <c r="A66" s="58">
        <v>14</v>
      </c>
      <c r="B66" s="58">
        <f>IF(B65&lt;=0, Dashboard!$O$9, B65-Dashboard!$O$11)</f>
        <v>24.175342465753431</v>
      </c>
      <c r="C66" s="58">
        <f>Dashboard!$O$10</f>
        <v>14</v>
      </c>
      <c r="H66" s="12"/>
      <c r="I66" s="12"/>
      <c r="J66" s="12"/>
      <c r="K66" s="12"/>
      <c r="L66" s="39"/>
    </row>
    <row r="67" spans="1:12" ht="23.25" x14ac:dyDescent="0.35">
      <c r="A67" s="58">
        <v>15</v>
      </c>
      <c r="B67" s="58">
        <f>IF(B66&lt;=0, Dashboard!$O$9, B66-Dashboard!$O$11)</f>
        <v>19.616438356164391</v>
      </c>
      <c r="C67" s="58">
        <f>Dashboard!$O$10</f>
        <v>14</v>
      </c>
      <c r="H67" s="12"/>
      <c r="I67" s="12"/>
      <c r="J67" s="12"/>
      <c r="K67" s="12"/>
      <c r="L67" s="39"/>
    </row>
    <row r="68" spans="1:12" ht="23.25" x14ac:dyDescent="0.35">
      <c r="A68" s="58">
        <v>16</v>
      </c>
      <c r="B68" s="58">
        <f>IF(B67&lt;=0, Dashboard!$O$9, B67-Dashboard!$O$11)</f>
        <v>15.057534246575351</v>
      </c>
      <c r="C68" s="58">
        <f>Dashboard!$O$10</f>
        <v>14</v>
      </c>
      <c r="H68" s="12"/>
      <c r="I68" s="12"/>
      <c r="J68" s="12"/>
      <c r="K68" s="12"/>
      <c r="L68" s="39"/>
    </row>
    <row r="69" spans="1:12" ht="23.25" x14ac:dyDescent="0.35">
      <c r="A69" s="58">
        <v>17</v>
      </c>
      <c r="B69" s="58">
        <f>IF(B68&lt;=0, Dashboard!$O$9, B68-Dashboard!$O$11)</f>
        <v>10.498630136986311</v>
      </c>
      <c r="C69" s="58">
        <f>Dashboard!$O$10</f>
        <v>14</v>
      </c>
      <c r="H69" s="12"/>
      <c r="I69" s="12"/>
      <c r="J69" s="12"/>
      <c r="K69" s="12"/>
      <c r="L69" s="39"/>
    </row>
    <row r="70" spans="1:12" ht="23.25" x14ac:dyDescent="0.35">
      <c r="A70" s="58">
        <v>18</v>
      </c>
      <c r="B70" s="58">
        <f>IF(B69&lt;=0, Dashboard!$O$9, B69-Dashboard!$O$11)</f>
        <v>5.9397260273972696</v>
      </c>
      <c r="C70" s="58">
        <f>Dashboard!$O$10</f>
        <v>14</v>
      </c>
      <c r="H70" s="12"/>
      <c r="I70" s="12"/>
      <c r="J70" s="12"/>
      <c r="K70" s="12"/>
      <c r="L70" s="39"/>
    </row>
    <row r="71" spans="1:12" ht="23.25" x14ac:dyDescent="0.35">
      <c r="A71" s="58">
        <v>19</v>
      </c>
      <c r="B71" s="58">
        <f>IF(B70&lt;=0, Dashboard!$O$9, B70-Dashboard!$O$11)</f>
        <v>1.3808219178082286</v>
      </c>
      <c r="C71" s="58">
        <f>Dashboard!$O$10</f>
        <v>14</v>
      </c>
      <c r="H71" s="12"/>
      <c r="I71" s="12"/>
      <c r="J71" s="12"/>
      <c r="K71" s="12"/>
      <c r="L71" s="39"/>
    </row>
    <row r="72" spans="1:12" ht="23.25" x14ac:dyDescent="0.35">
      <c r="A72" s="58">
        <v>20</v>
      </c>
      <c r="B72" s="58">
        <f>IF(B71&lt;=0, Dashboard!$O$9, B71-Dashboard!$O$11)</f>
        <v>-3.1780821917808124</v>
      </c>
      <c r="C72" s="58">
        <f>Dashboard!$O$10</f>
        <v>14</v>
      </c>
    </row>
    <row r="73" spans="1:12" ht="23.25" x14ac:dyDescent="0.35">
      <c r="A73" s="58">
        <v>21</v>
      </c>
      <c r="B73" s="58">
        <f>IF(B72&lt;=0, Dashboard!$O$9, B72-Dashboard!$O$11)</f>
        <v>88</v>
      </c>
      <c r="C73" s="58">
        <f>Dashboard!$O$10</f>
        <v>14</v>
      </c>
    </row>
    <row r="74" spans="1:12" ht="23.25" x14ac:dyDescent="0.35">
      <c r="A74" s="58">
        <v>22</v>
      </c>
      <c r="B74" s="58">
        <f>IF(B73&lt;=0, Dashboard!$O$9, B73-Dashboard!$O$11)</f>
        <v>83.441095890410963</v>
      </c>
      <c r="C74" s="58">
        <f>Dashboard!$O$10</f>
        <v>14</v>
      </c>
    </row>
    <row r="75" spans="1:12" ht="23.25" x14ac:dyDescent="0.35">
      <c r="A75" s="58">
        <v>23</v>
      </c>
      <c r="B75" s="58">
        <f>IF(B74&lt;=0, Dashboard!$O$9, B74-Dashboard!$O$11)</f>
        <v>78.882191780821927</v>
      </c>
      <c r="C75" s="58">
        <f>Dashboard!$O$10</f>
        <v>14</v>
      </c>
    </row>
    <row r="76" spans="1:12" ht="23.25" x14ac:dyDescent="0.35">
      <c r="A76" s="58">
        <v>24</v>
      </c>
      <c r="B76" s="58">
        <f>IF(B75&lt;=0, Dashboard!$O$9, B75-Dashboard!$O$11)</f>
        <v>74.32328767123289</v>
      </c>
      <c r="C76" s="58">
        <f>Dashboard!$O$10</f>
        <v>14</v>
      </c>
    </row>
    <row r="77" spans="1:12" ht="23.25" x14ac:dyDescent="0.35">
      <c r="A77" s="58">
        <v>25</v>
      </c>
      <c r="B77" s="58">
        <f>IF(B76&lt;=0, Dashboard!$O$9, B76-Dashboard!$O$11)</f>
        <v>69.764383561643854</v>
      </c>
      <c r="C77" s="58">
        <f>Dashboard!$O$10</f>
        <v>14</v>
      </c>
    </row>
    <row r="78" spans="1:12" ht="23.25" x14ac:dyDescent="0.35">
      <c r="A78" s="58">
        <v>26</v>
      </c>
      <c r="B78" s="58">
        <f>IF(B77&lt;=0, Dashboard!$O$9, B77-Dashboard!$O$11)</f>
        <v>65.205479452054817</v>
      </c>
      <c r="C78" s="58">
        <f>Dashboard!$O$10</f>
        <v>14</v>
      </c>
    </row>
    <row r="79" spans="1:12" ht="23.25" x14ac:dyDescent="0.35">
      <c r="A79" s="58">
        <v>27</v>
      </c>
      <c r="B79" s="58">
        <f>IF(B78&lt;=0, Dashboard!$O$9, B78-Dashboard!$O$11)</f>
        <v>60.646575342465773</v>
      </c>
      <c r="C79" s="58">
        <f>Dashboard!$O$10</f>
        <v>14</v>
      </c>
    </row>
    <row r="80" spans="1:12" ht="23.25" x14ac:dyDescent="0.35">
      <c r="A80" s="58">
        <v>28</v>
      </c>
      <c r="B80" s="58">
        <f>IF(B79&lt;=0, Dashboard!$O$9, B79-Dashboard!$O$11)</f>
        <v>56.08767123287673</v>
      </c>
      <c r="C80" s="58">
        <f>Dashboard!$O$10</f>
        <v>14</v>
      </c>
    </row>
    <row r="81" spans="1:3" ht="23.25" x14ac:dyDescent="0.35">
      <c r="A81" s="58">
        <v>29</v>
      </c>
      <c r="B81" s="58">
        <f>IF(B80&lt;=0, Dashboard!$O$9, B80-Dashboard!$O$11)</f>
        <v>51.528767123287686</v>
      </c>
      <c r="C81" s="58">
        <f>Dashboard!$O$10</f>
        <v>14</v>
      </c>
    </row>
    <row r="82" spans="1:3" ht="23.25" x14ac:dyDescent="0.35">
      <c r="A82" s="58">
        <v>30</v>
      </c>
      <c r="B82" s="58">
        <f>IF(B81&lt;=0, Dashboard!$O$9, B81-Dashboard!$O$11)</f>
        <v>46.969863013698642</v>
      </c>
      <c r="C82" s="58">
        <f>Dashboard!$O$10</f>
        <v>14</v>
      </c>
    </row>
  </sheetData>
  <mergeCells count="1">
    <mergeCell ref="A1:N2"/>
  </mergeCells>
  <phoneticPr fontId="15" type="noConversion"/>
  <conditionalFormatting sqref="I4:I23">
    <cfRule type="containsText" dxfId="2" priority="1" operator="containsText" text="C">
      <formula>NOT(ISERROR(SEARCH("C",I4)))</formula>
    </cfRule>
    <cfRule type="containsText" dxfId="1" priority="2" operator="containsText" text="B">
      <formula>NOT(ISERROR(SEARCH("B",I4)))</formula>
    </cfRule>
    <cfRule type="containsText" dxfId="0" priority="3" operator="containsText" text="A">
      <formula>NOT(ISERROR(SEARCH("A",I4)))</formula>
    </cfRule>
  </conditionalFormatting>
  <dataValidations count="1">
    <dataValidation type="list" allowBlank="1" showInputMessage="1" showErrorMessage="1" sqref="F51" xr:uid="{84CFB0B9-56A5-4328-A3DA-F6335DE6F337}">
      <formula1>$A$4:$A$23</formula1>
    </dataValidation>
  </dataValidations>
  <pageMargins left="0.7" right="0.7" top="0.75" bottom="0.75" header="0.3" footer="0.3"/>
  <pageSetup orientation="portrait" r:id="rId1"/>
  <ignoredErrors>
    <ignoredError sqref="H4 H5:H16 H17:H23 I4:I14" calculatedColumn="1"/>
  </ignoredErrors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98A4-02B2-42BF-B6AE-BED341CDE040}">
  <sheetPr>
    <pageSetUpPr fitToPage="1"/>
  </sheetPr>
  <dimension ref="A5:V58"/>
  <sheetViews>
    <sheetView tabSelected="1" zoomScale="53" zoomScaleNormal="40" workbookViewId="0">
      <selection activeCell="A50" sqref="A50:C50"/>
    </sheetView>
  </sheetViews>
  <sheetFormatPr defaultRowHeight="15" x14ac:dyDescent="0.25"/>
  <cols>
    <col min="1" max="1" width="9.140625" customWidth="1"/>
    <col min="2" max="2" width="11.7109375" customWidth="1"/>
    <col min="3" max="3" width="11" customWidth="1"/>
    <col min="6" max="6" width="12.28515625" customWidth="1"/>
    <col min="8" max="8" width="19" customWidth="1"/>
    <col min="10" max="11" width="15.140625" bestFit="1" customWidth="1"/>
    <col min="12" max="12" width="13.85546875" customWidth="1"/>
    <col min="14" max="14" width="18.42578125" bestFit="1" customWidth="1"/>
    <col min="16" max="16" width="5.85546875" customWidth="1"/>
    <col min="21" max="21" width="14.28515625" customWidth="1"/>
    <col min="22" max="22" width="4" customWidth="1"/>
  </cols>
  <sheetData>
    <row r="5" spans="1:2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ht="1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34"/>
      <c r="O6" s="34"/>
      <c r="P6" s="34"/>
      <c r="Q6" s="34"/>
      <c r="R6" s="34"/>
      <c r="S6" s="59"/>
      <c r="T6" s="60"/>
      <c r="U6" s="60"/>
      <c r="V6" s="16"/>
    </row>
    <row r="7" spans="1:22" ht="32.25" customHeight="1" x14ac:dyDescent="0.25">
      <c r="A7" s="16"/>
      <c r="B7" s="16"/>
      <c r="C7" s="16"/>
      <c r="D7" s="16"/>
      <c r="E7" s="16"/>
      <c r="F7" s="16"/>
      <c r="G7" s="16"/>
      <c r="H7" s="16"/>
      <c r="I7" s="31"/>
      <c r="J7" s="31"/>
      <c r="K7" s="32"/>
      <c r="L7" s="32"/>
      <c r="M7" s="16"/>
      <c r="N7" s="37" t="s">
        <v>63</v>
      </c>
      <c r="O7" s="62" t="s">
        <v>41</v>
      </c>
      <c r="P7" s="62"/>
      <c r="Q7" s="36"/>
      <c r="R7" s="34"/>
      <c r="S7" s="60"/>
      <c r="T7" s="60"/>
      <c r="U7" s="60"/>
      <c r="V7" s="16"/>
    </row>
    <row r="8" spans="1:22" ht="32.25" customHeight="1" x14ac:dyDescent="0.25">
      <c r="A8" s="16"/>
      <c r="B8" s="16"/>
      <c r="C8" s="16"/>
      <c r="D8" s="16"/>
      <c r="E8" s="16"/>
      <c r="F8" s="16"/>
      <c r="G8" s="16"/>
      <c r="H8" s="16"/>
      <c r="I8" s="33"/>
      <c r="J8" s="33"/>
      <c r="K8" s="33"/>
      <c r="L8" s="33"/>
      <c r="M8" s="16"/>
      <c r="N8" s="37" t="s">
        <v>0</v>
      </c>
      <c r="O8" s="62" t="str">
        <f>VLOOKUP(O7, Table1[], 2, FALSE)</f>
        <v>French fries</v>
      </c>
      <c r="P8" s="62"/>
      <c r="Q8" s="36"/>
      <c r="R8" s="34"/>
      <c r="S8" s="60"/>
      <c r="T8" s="60"/>
      <c r="U8" s="60"/>
      <c r="V8" s="16"/>
    </row>
    <row r="9" spans="1:22" ht="22.5" customHeight="1" x14ac:dyDescent="0.25">
      <c r="A9" s="16"/>
      <c r="B9" s="16"/>
      <c r="C9" s="16"/>
      <c r="D9" s="16"/>
      <c r="E9" s="16"/>
      <c r="F9" s="23"/>
      <c r="G9" s="23"/>
      <c r="H9" s="24"/>
      <c r="I9" s="33"/>
      <c r="J9" s="33"/>
      <c r="K9" s="33"/>
      <c r="L9" s="33"/>
      <c r="M9" s="16"/>
      <c r="N9" s="37" t="s">
        <v>30</v>
      </c>
      <c r="O9" s="84">
        <f>VLOOKUP(O7, Table1[], 12, FALSE)</f>
        <v>88</v>
      </c>
      <c r="P9" s="85"/>
      <c r="Q9" s="35"/>
      <c r="R9" s="35"/>
      <c r="S9" s="61"/>
      <c r="T9" s="61"/>
      <c r="U9" s="61"/>
      <c r="V9" s="16"/>
    </row>
    <row r="10" spans="1:22" ht="24.75" customHeight="1" x14ac:dyDescent="0.25">
      <c r="A10" s="16"/>
      <c r="B10" s="16"/>
      <c r="C10" s="16"/>
      <c r="D10" s="16"/>
      <c r="E10" s="16"/>
      <c r="F10" s="25"/>
      <c r="G10" s="26"/>
      <c r="H10" s="27"/>
      <c r="I10" s="33"/>
      <c r="J10" s="33"/>
      <c r="K10" s="32"/>
      <c r="L10" s="32"/>
      <c r="M10" s="16"/>
      <c r="N10" s="37" t="s">
        <v>31</v>
      </c>
      <c r="O10" s="62">
        <f>VLOOKUP(O7, Table1[], 13, FALSE)</f>
        <v>14</v>
      </c>
      <c r="P10" s="62"/>
      <c r="Q10" s="35"/>
      <c r="R10" s="35"/>
      <c r="S10" s="61"/>
      <c r="T10" s="61"/>
      <c r="U10" s="61"/>
      <c r="V10" s="16"/>
    </row>
    <row r="11" spans="1:22" ht="48" customHeight="1" x14ac:dyDescent="0.25">
      <c r="A11" s="16"/>
      <c r="B11" s="16"/>
      <c r="C11" s="16"/>
      <c r="D11" s="16"/>
      <c r="E11" s="16"/>
      <c r="F11" s="25"/>
      <c r="G11" s="26"/>
      <c r="H11" s="27"/>
      <c r="I11" s="31"/>
      <c r="J11" s="31"/>
      <c r="K11" s="32"/>
      <c r="L11" s="32"/>
      <c r="M11" s="16"/>
      <c r="N11" s="37" t="s">
        <v>33</v>
      </c>
      <c r="O11" s="62">
        <f>VLOOKUP(O7, Table1[], 14, FALSE)</f>
        <v>4.558904109589041</v>
      </c>
      <c r="P11" s="62"/>
      <c r="Q11" s="35"/>
      <c r="R11" s="35"/>
      <c r="S11" s="61"/>
      <c r="T11" s="61"/>
      <c r="U11" s="61"/>
      <c r="V11" s="16"/>
    </row>
    <row r="12" spans="1:22" x14ac:dyDescent="0.25">
      <c r="A12" s="16"/>
      <c r="B12" s="16"/>
      <c r="C12" s="16"/>
      <c r="D12" s="16"/>
      <c r="E12" s="16"/>
      <c r="F12" s="25"/>
      <c r="G12" s="26"/>
      <c r="H12" s="2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72" t="s">
        <v>36</v>
      </c>
      <c r="O14" s="73"/>
      <c r="P14" s="73"/>
      <c r="Q14" s="74" t="s">
        <v>37</v>
      </c>
      <c r="R14" s="75"/>
      <c r="S14" s="76"/>
      <c r="T14" s="83" t="s">
        <v>38</v>
      </c>
      <c r="U14" s="83"/>
      <c r="V14" s="16"/>
    </row>
    <row r="15" spans="1:22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73"/>
      <c r="O15" s="73"/>
      <c r="P15" s="73"/>
      <c r="Q15" s="77"/>
      <c r="R15" s="78"/>
      <c r="S15" s="79"/>
      <c r="T15" s="83"/>
      <c r="U15" s="83"/>
      <c r="V15" s="16"/>
    </row>
    <row r="16" spans="1:22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73"/>
      <c r="O16" s="73"/>
      <c r="P16" s="73"/>
      <c r="Q16" s="80"/>
      <c r="R16" s="81"/>
      <c r="S16" s="82"/>
      <c r="T16" s="83"/>
      <c r="U16" s="83"/>
      <c r="V16" s="16"/>
    </row>
    <row r="17" spans="1:22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86">
        <f>B56</f>
        <v>6</v>
      </c>
      <c r="O17" s="86"/>
      <c r="P17" s="86"/>
      <c r="Q17" s="63">
        <f>B57</f>
        <v>4</v>
      </c>
      <c r="R17" s="64"/>
      <c r="S17" s="65"/>
      <c r="T17" s="63">
        <f>B58</f>
        <v>10</v>
      </c>
      <c r="U17" s="65"/>
      <c r="V17" s="16"/>
    </row>
    <row r="18" spans="1:22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86"/>
      <c r="O18" s="86"/>
      <c r="P18" s="86"/>
      <c r="Q18" s="66"/>
      <c r="R18" s="67"/>
      <c r="S18" s="68"/>
      <c r="T18" s="66"/>
      <c r="U18" s="68"/>
      <c r="V18" s="16"/>
    </row>
    <row r="19" spans="1:22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86"/>
      <c r="O19" s="86"/>
      <c r="P19" s="86"/>
      <c r="Q19" s="66"/>
      <c r="R19" s="67"/>
      <c r="S19" s="68"/>
      <c r="T19" s="66"/>
      <c r="U19" s="68"/>
      <c r="V19" s="16"/>
    </row>
    <row r="20" spans="1:22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86"/>
      <c r="O20" s="86"/>
      <c r="P20" s="86"/>
      <c r="Q20" s="66"/>
      <c r="R20" s="67"/>
      <c r="S20" s="68"/>
      <c r="T20" s="66"/>
      <c r="U20" s="68"/>
      <c r="V20" s="16"/>
    </row>
    <row r="21" spans="1:2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86"/>
      <c r="O21" s="86"/>
      <c r="P21" s="86"/>
      <c r="Q21" s="66"/>
      <c r="R21" s="67"/>
      <c r="S21" s="68"/>
      <c r="T21" s="66"/>
      <c r="U21" s="68"/>
      <c r="V21" s="16"/>
    </row>
    <row r="22" spans="1:22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86"/>
      <c r="O22" s="86"/>
      <c r="P22" s="86"/>
      <c r="Q22" s="69"/>
      <c r="R22" s="70"/>
      <c r="S22" s="71"/>
      <c r="T22" s="69"/>
      <c r="U22" s="71"/>
      <c r="V22" s="16"/>
    </row>
    <row r="23" spans="1:22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ht="18.75" x14ac:dyDescent="0.3">
      <c r="A50" s="90" t="s">
        <v>66</v>
      </c>
      <c r="B50" s="90"/>
      <c r="C50" s="90"/>
      <c r="D50" s="8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2" spans="1:22" ht="18.75" x14ac:dyDescent="0.3">
      <c r="A52" s="88"/>
      <c r="B52" s="88"/>
      <c r="C52" s="88"/>
    </row>
    <row r="54" spans="1:22" ht="15.75" thickBot="1" x14ac:dyDescent="0.3"/>
    <row r="55" spans="1:22" ht="18.75" thickBot="1" x14ac:dyDescent="0.3">
      <c r="A55" s="17"/>
      <c r="B55" s="18" t="s">
        <v>34</v>
      </c>
      <c r="C55" s="19" t="s">
        <v>35</v>
      </c>
    </row>
    <row r="56" spans="1:22" ht="15.75" thickBot="1" x14ac:dyDescent="0.3">
      <c r="A56" s="20" t="s">
        <v>36</v>
      </c>
      <c r="B56" s="21">
        <f>COUNTIF(Master_Data!I:I, "A")</f>
        <v>6</v>
      </c>
      <c r="C56" s="22">
        <f>B56/SUM(B$56:$B$58)</f>
        <v>0.3</v>
      </c>
    </row>
    <row r="57" spans="1:22" ht="15.75" thickBot="1" x14ac:dyDescent="0.3">
      <c r="A57" s="20" t="s">
        <v>37</v>
      </c>
      <c r="B57" s="21">
        <f>COUNTIF(Master_Data!I:I, "B")</f>
        <v>4</v>
      </c>
      <c r="C57" s="22">
        <f>B57/SUM(B$56:$B$58)</f>
        <v>0.2</v>
      </c>
    </row>
    <row r="58" spans="1:22" ht="15.75" thickBot="1" x14ac:dyDescent="0.3">
      <c r="A58" s="20" t="s">
        <v>38</v>
      </c>
      <c r="B58" s="21">
        <f>COUNTIF(Master_Data!I:I, "C")</f>
        <v>10</v>
      </c>
      <c r="C58" s="22">
        <f>B58/SUM(B$56:$B$58)</f>
        <v>0.5</v>
      </c>
    </row>
  </sheetData>
  <mergeCells count="14">
    <mergeCell ref="A50:C50"/>
    <mergeCell ref="S6:U8"/>
    <mergeCell ref="S9:U11"/>
    <mergeCell ref="O7:P7"/>
    <mergeCell ref="Q17:S22"/>
    <mergeCell ref="T17:U22"/>
    <mergeCell ref="N14:P16"/>
    <mergeCell ref="Q14:S16"/>
    <mergeCell ref="T14:U16"/>
    <mergeCell ref="O8:P8"/>
    <mergeCell ref="O9:P9"/>
    <mergeCell ref="O10:P10"/>
    <mergeCell ref="O11:P11"/>
    <mergeCell ref="N17:P22"/>
  </mergeCells>
  <dataValidations count="1">
    <dataValidation type="list" allowBlank="1" showInputMessage="1" showErrorMessage="1" sqref="K7" xr:uid="{A929F6A0-7B26-4E6D-9E42-5B0A59BCC5B1}">
      <formula1>$A$4:$A$23</formula1>
    </dataValidation>
  </dataValidations>
  <pageMargins left="0.7" right="0.7" top="0.75" bottom="0.75" header="0.3" footer="0.3"/>
  <pageSetup scale="4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5A23F5-23DD-4185-8D66-63DBABB1712D}">
          <x14:formula1>
            <xm:f>Master_Data!$A$4:$A$23</xm:f>
          </x14:formula1>
          <xm:sqref>O7 Q7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2026-10-06T16:49:59Z</cp:lastPrinted>
  <dcterms:created xsi:type="dcterms:W3CDTF">2026-10-04T14:29:47Z</dcterms:created>
  <dcterms:modified xsi:type="dcterms:W3CDTF">2026-10-07T12:29:06Z</dcterms:modified>
</cp:coreProperties>
</file>